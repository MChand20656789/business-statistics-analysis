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ercise - Week 10 Students" sheetId="1" r:id="rId5"/>
    <sheet state="visible" name="Sheet1" sheetId="2" r:id="rId6"/>
    <sheet state="visible" name="Pivot Table 1" sheetId="3" r:id="rId7"/>
  </sheets>
  <definedNames>
    <definedName hidden="1" localSheetId="0" name="_xlnm._FilterDatabase">'Exercise - Week 10 Students'!$A$1:$AM$1</definedName>
    <definedName hidden="1" localSheetId="1" name="_xlnm._FilterDatabase">Sheet1!$A$1:$H$401</definedName>
  </definedNames>
  <calcPr/>
  <pivotCaches>
    <pivotCache cacheId="0" r:id="rId8"/>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5">
      <text>
        <t xml:space="preserve">Your answer should show the formula you used and not just the numerical answer.
</t>
      </text>
    </comment>
    <comment authorId="0" ref="U40">
      <text>
        <t xml:space="preserve">Your answer should show the formula you used and not just the numerical answer.
</t>
      </text>
    </comment>
  </commentList>
</comments>
</file>

<file path=xl/sharedStrings.xml><?xml version="1.0" encoding="utf-8"?>
<sst xmlns="http://schemas.openxmlformats.org/spreadsheetml/2006/main" count="3388" uniqueCount="92">
  <si>
    <t>Date</t>
  </si>
  <si>
    <t>Day</t>
  </si>
  <si>
    <t>Time</t>
  </si>
  <si>
    <t>Region</t>
  </si>
  <si>
    <t>Paid With</t>
  </si>
  <si>
    <t>Gender</t>
  </si>
  <si>
    <t>Items Ordered</t>
  </si>
  <si>
    <t>Total Cost</t>
  </si>
  <si>
    <t>Morning</t>
  </si>
  <si>
    <t>West</t>
  </si>
  <si>
    <t>VISA</t>
  </si>
  <si>
    <t>Female</t>
  </si>
  <si>
    <t>Mastercard</t>
  </si>
  <si>
    <t>COUNT of Total Cost</t>
  </si>
  <si>
    <t>Afternoon</t>
  </si>
  <si>
    <t>Evening</t>
  </si>
  <si>
    <t>Grand Total</t>
  </si>
  <si>
    <t>Cash</t>
  </si>
  <si>
    <t>NorthEast</t>
  </si>
  <si>
    <t>Male</t>
  </si>
  <si>
    <t>South</t>
  </si>
  <si>
    <t>MidWest</t>
  </si>
  <si>
    <t>&lt;</t>
  </si>
  <si>
    <t>≤</t>
  </si>
  <si>
    <t>t-statistic</t>
  </si>
  <si>
    <t>accept</t>
  </si>
  <si>
    <t>null</t>
  </si>
  <si>
    <t>Yes</t>
  </si>
  <si>
    <t>a t-distribution</t>
  </si>
  <si>
    <t>=</t>
  </si>
  <si>
    <t>z-statistic</t>
  </si>
  <si>
    <t>reject</t>
  </si>
  <si>
    <t>alternative</t>
  </si>
  <si>
    <t>&gt;</t>
  </si>
  <si>
    <t>No</t>
  </si>
  <si>
    <t>a normal distribution</t>
  </si>
  <si>
    <t>≠</t>
  </si>
  <si>
    <t>chi-square-statistic</t>
  </si>
  <si>
    <t>do not accept</t>
  </si>
  <si>
    <t>a standard normal distribution</t>
  </si>
  <si>
    <t>do not reject</t>
  </si>
  <si>
    <t>a Chi-Square distribution</t>
  </si>
  <si>
    <t>≥</t>
  </si>
  <si>
    <t>AVERAGE of Total Cost</t>
  </si>
  <si>
    <t>STDEV of Total Cost</t>
  </si>
  <si>
    <t xml:space="preserve">Males Mean = </t>
  </si>
  <si>
    <t xml:space="preserve">Males Standard Deviation = </t>
  </si>
  <si>
    <t xml:space="preserve">Males n = </t>
  </si>
  <si>
    <t xml:space="preserve">Females Mean = </t>
  </si>
  <si>
    <t xml:space="preserve">Females Standard Deviation = </t>
  </si>
  <si>
    <t xml:space="preserve">Females n = </t>
  </si>
  <si>
    <t>M</t>
  </si>
  <si>
    <t>F</t>
  </si>
  <si>
    <t>Pooled variance</t>
  </si>
  <si>
    <t>n</t>
  </si>
  <si>
    <t>s^2</t>
  </si>
  <si>
    <t xml:space="preserve">Null hypothesis is:  </t>
  </si>
  <si>
    <t>µm - µf</t>
  </si>
  <si>
    <t xml:space="preserve">Alternate hypothesis is:  </t>
  </si>
  <si>
    <t xml:space="preserve">The test statistic is a </t>
  </si>
  <si>
    <t xml:space="preserve">If a t-statistic, the df = </t>
  </si>
  <si>
    <t xml:space="preserve">Value of test statistic is </t>
  </si>
  <si>
    <t xml:space="preserve"> p-value = </t>
  </si>
  <si>
    <t xml:space="preserve">We </t>
  </si>
  <si>
    <t xml:space="preserve">the  </t>
  </si>
  <si>
    <t xml:space="preserve">at alpha = </t>
  </si>
  <si>
    <t xml:space="preserve">because the p-value is </t>
  </si>
  <si>
    <t xml:space="preserve"> alpha.</t>
  </si>
  <si>
    <t>t-Test: Two-Sample Assuming Equal Variances</t>
  </si>
  <si>
    <t>Males</t>
  </si>
  <si>
    <t>Females</t>
  </si>
  <si>
    <t>Mean</t>
  </si>
  <si>
    <t>Variance</t>
  </si>
  <si>
    <t>Observations</t>
  </si>
  <si>
    <t>Pooled Variance</t>
  </si>
  <si>
    <t>Hypothesized Mean Difference</t>
  </si>
  <si>
    <t>df</t>
  </si>
  <si>
    <t>t Stat</t>
  </si>
  <si>
    <t>P(T&lt;=t) one-tail</t>
  </si>
  <si>
    <t>t Critical one-tail</t>
  </si>
  <si>
    <t>P(T&lt;=t) two-tail</t>
  </si>
  <si>
    <t>t Critical two-tail</t>
  </si>
  <si>
    <t>there is no relationship between payment method and time of day</t>
  </si>
  <si>
    <t>there is a relationship between payment method and time of day</t>
  </si>
  <si>
    <t xml:space="preserve">The distribution of the test statistic is </t>
  </si>
  <si>
    <t>Row Labels</t>
  </si>
  <si>
    <t>Observed</t>
  </si>
  <si>
    <t>Expected</t>
  </si>
  <si>
    <t xml:space="preserve">The p-value = </t>
  </si>
  <si>
    <t>the d.f. is</t>
  </si>
  <si>
    <t>The test statistic =</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</si>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</sst>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yyyy"/>
    <numFmt numFmtId="165" formatCode="dddd"/>
    <numFmt numFmtId="166" formatCode="&quot;$&quot;#,##0.00_);\(&quot;$&quot;#,##0.00\)"/>
    <numFmt numFmtId="167" formatCode="0.0"/>
    <numFmt numFmtId="168" formatCode="0.000"/>
  </numFmts>
  <fonts count="8">
    <font>
      <sz val="11.0"/>
      <color theme="1"/>
      <name val="Calibri"/>
      <scheme val="minor"/>
    </font>
    <font>
      <sz val="11.0"/>
      <color theme="1"/>
      <name val="Calibri"/>
    </font>
    <font>
      <b/>
      <sz val="18.0"/>
      <color theme="1"/>
      <name val="Calibri"/>
    </font>
    <font>
      <color theme="1"/>
      <name val="Calibri"/>
      <scheme val="minor"/>
    </font>
    <font>
      <i/>
      <sz val="11.0"/>
      <color theme="1"/>
      <name val="Calibri"/>
    </font>
    <font/>
    <font>
      <b/>
      <sz val="11.0"/>
      <color theme="1"/>
      <name val="Calibri"/>
    </font>
    <font>
      <sz val="18.0"/>
      <color theme="1"/>
      <name val="Calibri"/>
    </font>
  </fonts>
  <fills count="3">
    <fill>
      <patternFill patternType="none"/>
    </fill>
    <fill>
      <patternFill patternType="lightGray"/>
    </fill>
    <fill>
      <patternFill patternType="solid">
        <fgColor rgb="FFD9E2F3"/>
        <bgColor rgb="FFD9E2F3"/>
      </patternFill>
    </fill>
  </fills>
  <borders count="24">
    <border/>
    <border>
      <left style="thick">
        <color rgb="FFFF0000"/>
      </left>
      <right style="thick">
        <color rgb="FFFF0000"/>
      </right>
      <top style="thick">
        <color rgb="FFFF0000"/>
      </top>
      <bottom style="thick">
        <color rgb="FFFF0000"/>
      </bottom>
    </border>
    <border>
      <left style="thick">
        <color rgb="FFFF0000"/>
      </left>
      <top style="thick">
        <color rgb="FFFF0000"/>
      </top>
    </border>
    <border>
      <top style="thick">
        <color rgb="FFFF0000"/>
      </top>
    </border>
    <border>
      <right style="thick">
        <color rgb="FFFF0000"/>
      </right>
      <top style="thick">
        <color rgb="FFFF0000"/>
      </top>
    </border>
    <border>
      <left style="thick">
        <color rgb="FFFF0000"/>
      </left>
    </border>
    <border>
      <right style="thick">
        <color rgb="FFFF0000"/>
      </right>
    </border>
    <border>
      <left style="thick">
        <color rgb="FFFF0000"/>
      </left>
      <top style="medium">
        <color rgb="FF000000"/>
      </top>
      <bottom style="thin">
        <color rgb="FF000000"/>
      </bottom>
    </border>
    <border>
      <top style="medium">
        <color rgb="FF000000"/>
      </top>
      <bottom style="thin">
        <color rgb="FF000000"/>
      </bottom>
    </border>
    <border>
      <right style="thick">
        <color rgb="FFFF0000"/>
      </right>
      <top style="medium">
        <color rgb="FF000000"/>
      </top>
      <bottom style="thin">
        <color rgb="FF000000"/>
      </bottom>
    </border>
    <border>
      <top style="thin">
        <color rgb="FF000000"/>
      </top>
      <bottom style="thin">
        <color rgb="FF000000"/>
      </bottom>
    </border>
    <border>
      <left style="thick">
        <color rgb="FFFF0000"/>
      </left>
      <bottom style="thick">
        <color rgb="FFFF0000"/>
      </bottom>
    </border>
    <border>
      <bottom style="thick">
        <color rgb="FFFF0000"/>
      </bottom>
    </border>
    <border>
      <right style="thick">
        <color rgb="FFFF0000"/>
      </right>
      <bottom style="thick">
        <color rgb="FFFF0000"/>
      </bottom>
    </border>
    <border>
      <bottom style="thin">
        <color rgb="FF000000"/>
      </bottom>
    </border>
    <border>
      <left style="thick">
        <color rgb="FFFF0000"/>
      </left>
      <top style="thick">
        <color rgb="FFFF0000"/>
      </top>
      <bottom style="thick">
        <color rgb="FFFF0000"/>
      </bottom>
    </border>
    <border>
      <top style="thick">
        <color rgb="FFFF0000"/>
      </top>
      <bottom style="thick">
        <color rgb="FFFF0000"/>
      </bottom>
    </border>
    <border>
      <right style="thick">
        <color rgb="FFFF0000"/>
      </right>
      <top style="thick">
        <color rgb="FFFF0000"/>
      </top>
      <bottom style="thick">
        <color rgb="FFFF0000"/>
      </bottom>
    </border>
    <border>
      <left style="thick">
        <color rgb="FFFF0000"/>
      </left>
      <right/>
      <top style="thick">
        <color rgb="FFFF0000"/>
      </top>
      <bottom style="thin">
        <color rgb="FF8EAADB"/>
      </bottom>
    </border>
    <border>
      <left/>
      <right/>
      <top style="thick">
        <color rgb="FFFF0000"/>
      </top>
      <bottom style="thin">
        <color rgb="FF8EAADB"/>
      </bottom>
    </border>
    <border>
      <left/>
      <right style="thick">
        <color rgb="FFFF0000"/>
      </right>
      <top style="thick">
        <color rgb="FFFF0000"/>
      </top>
      <bottom style="thin">
        <color rgb="FF8EAADB"/>
      </bottom>
    </border>
    <border>
      <left style="thick">
        <color rgb="FFFF0000"/>
      </left>
      <right/>
      <top style="thin">
        <color rgb="FF8EAADB"/>
      </top>
      <bottom style="thick">
        <color rgb="FFFF0000"/>
      </bottom>
    </border>
    <border>
      <left/>
      <right/>
      <top style="thin">
        <color rgb="FF8EAADB"/>
      </top>
      <bottom style="thick">
        <color rgb="FFFF0000"/>
      </bottom>
    </border>
    <border>
      <left/>
      <right style="thick">
        <color rgb="FFFF0000"/>
      </right>
      <top style="thin">
        <color rgb="FF8EAADB"/>
      </top>
      <bottom style="thick">
        <color rgb="FFFF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0" fillId="0" fontId="1" numFmtId="0" xfId="0" applyAlignment="1" applyFont="1">
      <alignment horizontal="left"/>
    </xf>
    <xf borderId="0" fillId="0" fontId="1" numFmtId="0" xfId="0" applyAlignment="1" applyFont="1">
      <alignment horizontal="right"/>
    </xf>
    <xf borderId="0" fillId="0" fontId="1" numFmtId="166" xfId="0" applyAlignment="1" applyFont="1" applyNumberFormat="1">
      <alignment horizontal="right"/>
    </xf>
    <xf borderId="0" fillId="0" fontId="1" numFmtId="0" xfId="0" applyFont="1"/>
    <xf borderId="0" fillId="0" fontId="2" numFmtId="0" xfId="0" applyFont="1"/>
    <xf borderId="0" fillId="0" fontId="1" numFmtId="164" xfId="0" applyAlignment="1" applyFont="1" applyNumberFormat="1">
      <alignment horizontal="left"/>
    </xf>
    <xf borderId="0" fillId="0" fontId="1" numFmtId="165" xfId="0" applyAlignment="1" applyFont="1" applyNumberFormat="1">
      <alignment horizontal="left"/>
    </xf>
    <xf quotePrefix="1" borderId="0" fillId="0" fontId="1" numFmtId="0" xfId="0" applyAlignment="1" applyFont="1">
      <alignment horizontal="left"/>
    </xf>
    <xf borderId="0" fillId="0" fontId="1" numFmtId="166" xfId="0" applyFont="1" applyNumberFormat="1"/>
    <xf borderId="0" fillId="0" fontId="3" numFmtId="0" xfId="0" applyFont="1"/>
    <xf borderId="0" fillId="0" fontId="1" numFmtId="0" xfId="0" applyAlignment="1" applyFont="1">
      <alignment horizontal="center"/>
    </xf>
    <xf borderId="0" fillId="0" fontId="3" numFmtId="166" xfId="0" applyFont="1" applyNumberFormat="1"/>
    <xf borderId="1" fillId="0" fontId="1" numFmtId="166" xfId="0" applyBorder="1" applyFont="1" applyNumberFormat="1"/>
    <xf borderId="1" fillId="0" fontId="1" numFmtId="0" xfId="0" applyBorder="1" applyFont="1"/>
    <xf borderId="0" fillId="0" fontId="1" numFmtId="10" xfId="0" applyFont="1" applyNumberFormat="1"/>
    <xf borderId="0" fillId="0" fontId="1" numFmtId="0" xfId="0" applyAlignment="1" applyFont="1">
      <alignment readingOrder="0"/>
    </xf>
    <xf borderId="1" fillId="0" fontId="1" numFmtId="167" xfId="0" applyBorder="1" applyFont="1" applyNumberFormat="1"/>
    <xf borderId="0" fillId="0" fontId="1" numFmtId="0" xfId="0" applyFont="1"/>
    <xf borderId="1" fillId="0" fontId="1" numFmtId="0" xfId="0" applyAlignment="1" applyBorder="1" applyFont="1">
      <alignment horizontal="center" readingOrder="0"/>
    </xf>
    <xf borderId="1" fillId="0" fontId="1" numFmtId="0" xfId="0" applyAlignment="1" applyBorder="1" applyFont="1">
      <alignment readingOrder="0"/>
    </xf>
    <xf borderId="1" fillId="0" fontId="1" numFmtId="0" xfId="0" applyBorder="1" applyFont="1"/>
    <xf borderId="1" fillId="0" fontId="1" numFmtId="168" xfId="0" applyBorder="1" applyFont="1" applyNumberFormat="1"/>
    <xf borderId="1" fillId="0" fontId="1" numFmtId="2" xfId="0" applyBorder="1" applyFont="1" applyNumberFormat="1"/>
    <xf borderId="1" fillId="0" fontId="1" numFmtId="0" xfId="0" applyAlignment="1" applyBorder="1" applyFont="1">
      <alignment horizontal="center"/>
    </xf>
    <xf borderId="0" fillId="0" fontId="1" numFmtId="0" xfId="0" applyAlignment="1" applyFont="1">
      <alignment vertical="bottom"/>
    </xf>
    <xf borderId="2" fillId="0" fontId="1" numFmtId="0" xfId="0" applyBorder="1" applyFont="1"/>
    <xf borderId="3" fillId="0" fontId="1" numFmtId="0" xfId="0" applyBorder="1" applyFont="1"/>
    <xf borderId="4" fillId="0" fontId="1" numFmtId="0" xfId="0" applyBorder="1" applyFont="1"/>
    <xf borderId="0" fillId="0" fontId="1" numFmtId="166" xfId="0" applyAlignment="1" applyFont="1" applyNumberFormat="1">
      <alignment horizontal="right" vertical="bottom"/>
    </xf>
    <xf borderId="0" fillId="0" fontId="1" numFmtId="166" xfId="0" applyAlignment="1" applyFont="1" applyNumberFormat="1">
      <alignment readingOrder="0"/>
    </xf>
    <xf borderId="0" fillId="0" fontId="1" numFmtId="166" xfId="0" applyAlignment="1" applyFont="1" applyNumberFormat="1">
      <alignment horizontal="right" readingOrder="0" vertical="bottom"/>
    </xf>
    <xf borderId="5" fillId="0" fontId="1" numFmtId="0" xfId="0" applyBorder="1" applyFont="1"/>
    <xf borderId="6" fillId="0" fontId="1" numFmtId="0" xfId="0" applyBorder="1" applyFont="1"/>
    <xf borderId="7" fillId="0" fontId="4" numFmtId="0" xfId="0" applyAlignment="1" applyBorder="1" applyFont="1">
      <alignment horizontal="center"/>
    </xf>
    <xf borderId="8" fillId="0" fontId="4" numFmtId="0" xfId="0" applyAlignment="1" applyBorder="1" applyFont="1">
      <alignment horizontal="center"/>
    </xf>
    <xf borderId="9" fillId="0" fontId="4" numFmtId="0" xfId="0" applyAlignment="1" applyBorder="1" applyFont="1">
      <alignment horizontal="center"/>
    </xf>
    <xf borderId="10" fillId="0" fontId="4" numFmtId="166" xfId="0" applyAlignment="1" applyBorder="1" applyFont="1" applyNumberFormat="1">
      <alignment horizontal="center"/>
    </xf>
    <xf borderId="10" fillId="0" fontId="4" numFmtId="0" xfId="0" applyAlignment="1" applyBorder="1" applyFont="1">
      <alignment horizontal="center" readingOrder="0"/>
    </xf>
    <xf borderId="10" fillId="0" fontId="4" numFmtId="166" xfId="0" applyAlignment="1" applyBorder="1" applyFont="1" applyNumberFormat="1">
      <alignment horizontal="center" vertical="bottom"/>
    </xf>
    <xf borderId="10" fillId="0" fontId="4" numFmtId="166" xfId="0" applyAlignment="1" applyBorder="1" applyFont="1" applyNumberFormat="1">
      <alignment horizontal="center" readingOrder="0"/>
    </xf>
    <xf borderId="0" fillId="0" fontId="3" numFmtId="166" xfId="0" applyAlignment="1" applyFont="1" applyNumberFormat="1">
      <alignment readingOrder="0"/>
    </xf>
    <xf borderId="6" fillId="0" fontId="1" numFmtId="0" xfId="0" applyAlignment="1" applyBorder="1" applyFont="1">
      <alignment readingOrder="0"/>
    </xf>
    <xf borderId="0" fillId="0" fontId="1" numFmtId="0" xfId="0" applyAlignment="1" applyFont="1">
      <alignment readingOrder="0"/>
    </xf>
    <xf borderId="0" fillId="0" fontId="3" numFmtId="0" xfId="0" applyAlignment="1" applyFont="1">
      <alignment readingOrder="0"/>
    </xf>
    <xf borderId="6" fillId="0" fontId="1" numFmtId="166" xfId="0" applyAlignment="1" applyBorder="1" applyFont="1" applyNumberFormat="1">
      <alignment readingOrder="0"/>
    </xf>
    <xf borderId="11" fillId="0" fontId="1" numFmtId="0" xfId="0" applyBorder="1" applyFont="1"/>
    <xf borderId="12" fillId="0" fontId="1" numFmtId="166" xfId="0" applyAlignment="1" applyBorder="1" applyFont="1" applyNumberFormat="1">
      <alignment readingOrder="0"/>
    </xf>
    <xf borderId="13" fillId="0" fontId="1" numFmtId="0" xfId="0" applyBorder="1" applyFont="1"/>
    <xf borderId="14" fillId="0" fontId="1" numFmtId="166" xfId="0" applyAlignment="1" applyBorder="1" applyFont="1" applyNumberFormat="1">
      <alignment readingOrder="0"/>
    </xf>
    <xf borderId="14" fillId="0" fontId="1" numFmtId="0" xfId="0" applyAlignment="1" applyBorder="1" applyFont="1">
      <alignment readingOrder="0"/>
    </xf>
    <xf borderId="14" fillId="0" fontId="1" numFmtId="0" xfId="0" applyBorder="1" applyFont="1"/>
    <xf borderId="14" fillId="0" fontId="1" numFmtId="166" xfId="0" applyAlignment="1" applyBorder="1" applyFont="1" applyNumberFormat="1">
      <alignment horizontal="right" readingOrder="0" vertical="bottom"/>
    </xf>
    <xf borderId="15" fillId="0" fontId="1" numFmtId="0" xfId="0" applyAlignment="1" applyBorder="1" applyFont="1">
      <alignment horizontal="center" readingOrder="0"/>
    </xf>
    <xf borderId="16" fillId="0" fontId="5" numFmtId="0" xfId="0" applyBorder="1" applyFont="1"/>
    <xf borderId="17" fillId="0" fontId="5" numFmtId="0" xfId="0" applyBorder="1" applyFont="1"/>
    <xf borderId="18" fillId="2" fontId="6" numFmtId="0" xfId="0" applyBorder="1" applyFill="1" applyFont="1"/>
    <xf borderId="19" fillId="2" fontId="6" numFmtId="0" xfId="0" applyBorder="1" applyFont="1"/>
    <xf borderId="20" fillId="2" fontId="6" numFmtId="0" xfId="0" applyBorder="1" applyFont="1"/>
    <xf borderId="0" fillId="0" fontId="7" numFmtId="0" xfId="0" applyAlignment="1" applyFont="1">
      <alignment horizontal="center" readingOrder="2" textRotation="90"/>
    </xf>
    <xf borderId="5" fillId="0" fontId="1" numFmtId="0" xfId="0" applyAlignment="1" applyBorder="1" applyFont="1">
      <alignment horizontal="left"/>
    </xf>
    <xf borderId="6" fillId="0" fontId="1" numFmtId="0" xfId="0" applyBorder="1" applyFont="1"/>
    <xf borderId="21" fillId="2" fontId="6" numFmtId="0" xfId="0" applyAlignment="1" applyBorder="1" applyFont="1">
      <alignment horizontal="left"/>
    </xf>
    <xf borderId="22" fillId="2" fontId="6" numFmtId="0" xfId="0" applyBorder="1" applyFont="1"/>
    <xf borderId="23" fillId="2" fontId="6" numFmtId="0" xfId="0" applyBorder="1" applyFont="1"/>
    <xf borderId="22" fillId="2" fontId="6" numFmtId="0" xfId="0" applyBorder="1" applyFont="1"/>
    <xf borderId="23" fillId="2"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2</xdr:row>
      <xdr:rowOff>0</xdr:rowOff>
    </xdr:from>
    <xdr:ext cx="12277725" cy="1562100"/>
    <xdr:sp>
      <xdr:nvSpPr>
        <xdr:cNvPr id="3" name="Shape 3"/>
        <xdr:cNvSpPr txBox="1"/>
      </xdr:nvSpPr>
      <xdr:spPr>
        <a:xfrm>
          <a:off x="0" y="3003713"/>
          <a:ext cx="10692000" cy="15525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400" u="none" strike="noStrike">
              <a:solidFill>
                <a:schemeClr val="dk1"/>
              </a:solidFill>
              <a:latin typeface="Calibri"/>
              <a:ea typeface="Calibri"/>
              <a:cs typeface="Calibri"/>
              <a:sym typeface="Calibri"/>
            </a:rPr>
            <a:t>Data</a:t>
          </a:r>
          <a:r>
            <a:rPr b="1" i="0" lang="en-US" sz="1400" u="none" strike="noStrike">
              <a:solidFill>
                <a:schemeClr val="dk1"/>
              </a:solidFill>
              <a:latin typeface="Calibri"/>
              <a:ea typeface="Calibri"/>
              <a:cs typeface="Calibri"/>
              <a:sym typeface="Calibri"/>
            </a:rPr>
            <a:t> Set Description</a:t>
          </a:r>
          <a:endParaRPr sz="1400"/>
        </a:p>
        <a:p>
          <a:pPr indent="0" lvl="0" marL="0" rtl="0" algn="l">
            <a:spcBef>
              <a:spcPts val="0"/>
            </a:spcBef>
            <a:spcAft>
              <a:spcPts val="0"/>
            </a:spcAft>
            <a:buNone/>
          </a:pPr>
          <a:r>
            <a:t/>
          </a:r>
          <a:endParaRPr b="1" i="0" sz="1400" u="none" strike="noStrike">
            <a:solidFill>
              <a:schemeClr val="dk1"/>
            </a:solidFill>
            <a:latin typeface="Calibri"/>
            <a:ea typeface="Calibri"/>
            <a:cs typeface="Calibri"/>
            <a:sym typeface="Calibri"/>
          </a:endParaRPr>
        </a:p>
        <a:p>
          <a:pPr indent="0" lvl="0" marL="0" rtl="0" algn="l">
            <a:spcBef>
              <a:spcPts val="0"/>
            </a:spcBef>
            <a:spcAft>
              <a:spcPts val="0"/>
            </a:spcAft>
            <a:buNone/>
          </a:pPr>
          <a:r>
            <a:rPr b="0" i="0" lang="en-US" sz="1100" u="none" strike="noStrike">
              <a:solidFill>
                <a:schemeClr val="dk1"/>
              </a:solidFill>
              <a:latin typeface="Calibri"/>
              <a:ea typeface="Calibri"/>
              <a:cs typeface="Calibri"/>
              <a:sym typeface="Calibri"/>
            </a:rPr>
            <a:t>The data on the left records the sales transactions for 400 customers from March 2013 to June 2013. The data set includes</a:t>
          </a:r>
          <a:r>
            <a:rPr b="0" i="0" lang="en-US" sz="1100" u="none" strike="noStrike">
              <a:solidFill>
                <a:schemeClr val="dk1"/>
              </a:solidFill>
              <a:latin typeface="Calibri"/>
              <a:ea typeface="Calibri"/>
              <a:cs typeface="Calibri"/>
              <a:sym typeface="Calibri"/>
            </a:rPr>
            <a:t> the information on</a:t>
          </a:r>
          <a:r>
            <a:rPr b="0" i="0" lang="en-US" sz="1100" u="none" strike="noStrike">
              <a:solidFill>
                <a:schemeClr val="dk1"/>
              </a:solidFill>
              <a:latin typeface="Calibri"/>
              <a:ea typeface="Calibri"/>
              <a:cs typeface="Calibri"/>
              <a:sym typeface="Calibri"/>
            </a:rPr>
            <a:t> the time of the transaction, the gender and region of the customer, the payment method, the payment amount, and the number of items purchased.  (2 points for each question plus 1 free point, total points 25).</a:t>
          </a:r>
          <a:r>
            <a:rPr lang="en-US" sz="1100">
              <a:solidFill>
                <a:schemeClr val="dk1"/>
              </a:solidFill>
              <a:latin typeface="Calibri"/>
              <a:ea typeface="Calibri"/>
              <a:cs typeface="Calibri"/>
              <a:sym typeface="Calibri"/>
            </a:rPr>
            <a:t> </a:t>
          </a:r>
          <a:endParaRPr sz="1100">
            <a:solidFill>
              <a:schemeClr val="dk1"/>
            </a:solidFill>
            <a:latin typeface="Calibri"/>
            <a:ea typeface="Calibri"/>
            <a:cs typeface="Calibri"/>
            <a:sym typeface="Calibri"/>
          </a:endParaRPr>
        </a:p>
      </xdr:txBody>
    </xdr:sp>
    <xdr:clientData fLocksWithSheet="0"/>
  </xdr:oneCellAnchor>
  <xdr:oneCellAnchor>
    <xdr:from>
      <xdr:col>12</xdr:col>
      <xdr:colOff>9525</xdr:colOff>
      <xdr:row>10</xdr:row>
      <xdr:rowOff>180975</xdr:rowOff>
    </xdr:from>
    <xdr:ext cx="12258675" cy="1200150"/>
    <xdr:sp>
      <xdr:nvSpPr>
        <xdr:cNvPr id="4" name="Shape 4"/>
        <xdr:cNvSpPr txBox="1"/>
      </xdr:nvSpPr>
      <xdr:spPr>
        <a:xfrm>
          <a:off x="0" y="3179925"/>
          <a:ext cx="10692000" cy="120015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dk1"/>
              </a:solidFill>
              <a:latin typeface="Calibri"/>
              <a:ea typeface="Calibri"/>
              <a:cs typeface="Calibri"/>
              <a:sym typeface="Calibri"/>
            </a:rPr>
            <a:t>Questions</a:t>
          </a:r>
          <a:endParaRPr sz="1100"/>
        </a:p>
        <a:p>
          <a:pPr indent="0" lvl="0" marL="0" rtl="0" algn="l">
            <a:spcBef>
              <a:spcPts val="0"/>
            </a:spcBef>
            <a:spcAft>
              <a:spcPts val="0"/>
            </a:spcAft>
            <a:buNone/>
          </a:pPr>
          <a:r>
            <a:rPr b="0" i="0" lang="en-US" sz="1100">
              <a:solidFill>
                <a:schemeClr val="dk1"/>
              </a:solidFill>
              <a:latin typeface="Calibri"/>
              <a:ea typeface="Calibri"/>
              <a:cs typeface="Calibri"/>
              <a:sym typeface="Calibri"/>
            </a:rPr>
            <a:t>1. Historically Females spent on average more than males, but you believe that this is actually not true in the NorthEast region in the time frame you are analyzing, and you want to conduct a hypothesis test to investigate whether males actually spent more in the NorthEast than females in 2023. You follow the steps below to make your conclusions.</a:t>
          </a:r>
          <a:endParaRPr sz="1400"/>
        </a:p>
        <a:p>
          <a:pPr indent="0" lvl="0" marL="0" rtl="0" algn="l">
            <a:spcBef>
              <a:spcPts val="0"/>
            </a:spcBef>
            <a:spcAft>
              <a:spcPts val="0"/>
            </a:spcAft>
            <a:buNone/>
          </a:pPr>
          <a:r>
            <a:rPr b="0" i="0" lang="en-US" sz="1100">
              <a:solidFill>
                <a:schemeClr val="dk1"/>
              </a:solidFill>
              <a:latin typeface="Calibri"/>
              <a:ea typeface="Calibri"/>
              <a:cs typeface="Calibri"/>
              <a:sym typeface="Calibri"/>
            </a:rPr>
            <a:t>First, you need to find the sample mean, standard deviation and size of Total Cost made by males and females in the NorthEast. </a:t>
          </a:r>
          <a:r>
            <a:rPr b="1" i="0" lang="en-US" sz="1100">
              <a:solidFill>
                <a:srgbClr val="FF0000"/>
              </a:solidFill>
              <a:latin typeface="Calibri"/>
              <a:ea typeface="Calibri"/>
              <a:cs typeface="Calibri"/>
              <a:sym typeface="Calibri"/>
            </a:rPr>
            <a:t>Hint: Use a Pivot Table to obtain the answers directly by setting the Value Field Settings to Average, then StdDev, then Count.  </a:t>
          </a:r>
          <a:r>
            <a:rPr b="0" i="0" lang="en-US" sz="1100">
              <a:solidFill>
                <a:schemeClr val="dk1"/>
              </a:solidFill>
              <a:latin typeface="Calibri"/>
              <a:ea typeface="Calibri"/>
              <a:cs typeface="Calibri"/>
              <a:sym typeface="Calibri"/>
            </a:rPr>
            <a:t>Enter your answers in the cells below by using Copy/Paste Special/Values.   </a:t>
          </a:r>
          <a:r>
            <a:rPr lang="en-US" sz="1100">
              <a:solidFill>
                <a:schemeClr val="dk1"/>
              </a:solidFill>
              <a:latin typeface="Calibri"/>
              <a:ea typeface="Calibri"/>
              <a:cs typeface="Calibri"/>
              <a:sym typeface="Calibri"/>
            </a:rPr>
            <a:t> </a:t>
          </a:r>
          <a:endParaRPr sz="1100"/>
        </a:p>
        <a:p>
          <a:pPr indent="0" lvl="0" marL="0" rtl="0" algn="l">
            <a:spcBef>
              <a:spcPts val="0"/>
            </a:spcBef>
            <a:spcAft>
              <a:spcPts val="0"/>
            </a:spcAft>
            <a:buNone/>
          </a:pPr>
          <a:r>
            <a:t/>
          </a:r>
          <a:endParaRPr sz="1100"/>
        </a:p>
      </xdr:txBody>
    </xdr:sp>
    <xdr:clientData fLocksWithSheet="0"/>
  </xdr:oneCellAnchor>
  <xdr:oneCellAnchor>
    <xdr:from>
      <xdr:col>12</xdr:col>
      <xdr:colOff>0</xdr:colOff>
      <xdr:row>21</xdr:row>
      <xdr:rowOff>0</xdr:rowOff>
    </xdr:from>
    <xdr:ext cx="12325350" cy="1400175"/>
    <xdr:sp>
      <xdr:nvSpPr>
        <xdr:cNvPr id="5" name="Shape 5"/>
        <xdr:cNvSpPr txBox="1"/>
      </xdr:nvSpPr>
      <xdr:spPr>
        <a:xfrm>
          <a:off x="0" y="3079913"/>
          <a:ext cx="10692000" cy="14001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The males and females population standard</a:t>
          </a:r>
          <a:r>
            <a:rPr b="0" i="0" lang="en-US" sz="1100">
              <a:solidFill>
                <a:schemeClr val="dk1"/>
              </a:solidFill>
              <a:latin typeface="Calibri"/>
              <a:ea typeface="Calibri"/>
              <a:cs typeface="Calibri"/>
              <a:sym typeface="Calibri"/>
            </a:rPr>
            <a:t> deviations are unknown, but we assume that </a:t>
          </a:r>
          <a:r>
            <a:rPr b="0" i="0" lang="en-US" sz="1100">
              <a:solidFill>
                <a:schemeClr val="dk1"/>
              </a:solidFill>
              <a:latin typeface="Calibri"/>
              <a:ea typeface="Calibri"/>
              <a:cs typeface="Calibri"/>
              <a:sym typeface="Calibri"/>
            </a:rPr>
            <a:t>they are the same</a:t>
          </a:r>
          <a:r>
            <a:rPr b="0" i="0" lang="en-US" sz="1100">
              <a:solidFill>
                <a:schemeClr val="dk1"/>
              </a:solidFill>
              <a:latin typeface="Calibri"/>
              <a:ea typeface="Calibri"/>
              <a:cs typeface="Calibri"/>
              <a:sym typeface="Calibri"/>
            </a:rPr>
            <a:t> given the similar value they have in the two samples</a:t>
          </a:r>
          <a:r>
            <a:rPr b="0" i="0" lang="en-US" sz="1100">
              <a:solidFill>
                <a:schemeClr val="dk1"/>
              </a:solidFill>
              <a:latin typeface="Calibri"/>
              <a:ea typeface="Calibri"/>
              <a:cs typeface="Calibri"/>
              <a:sym typeface="Calibri"/>
            </a:rPr>
            <a:t>. Therefore</a:t>
          </a:r>
          <a:r>
            <a:rPr b="0" i="0" lang="en-US" sz="1100">
              <a:solidFill>
                <a:schemeClr val="dk1"/>
              </a:solidFill>
              <a:latin typeface="Calibri"/>
              <a:ea typeface="Calibri"/>
              <a:cs typeface="Calibri"/>
              <a:sym typeface="Calibri"/>
            </a:rPr>
            <a:t> we can compute the "pooled" variance using the formula: </a:t>
          </a:r>
          <a:endParaRPr sz="1400"/>
        </a:p>
        <a:p>
          <a:pPr indent="0" lvl="0" marL="0" rtl="0" algn="l">
            <a:spcBef>
              <a:spcPts val="0"/>
            </a:spcBef>
            <a:spcAft>
              <a:spcPts val="0"/>
            </a:spcAft>
            <a:buNone/>
          </a:pPr>
          <a:r>
            <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t/>
          </a:r>
          <a:endParaRPr b="0" i="0" sz="1100">
            <a:solidFill>
              <a:schemeClr val="dk1"/>
            </a:solidFill>
            <a:latin typeface="Calibri"/>
            <a:ea typeface="Calibri"/>
            <a:cs typeface="Calibri"/>
            <a:sym typeface="Calibri"/>
          </a:endParaRPr>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2. Compute the pooled variance in the red cell below.</a:t>
          </a:r>
          <a:endParaRPr sz="1400"/>
        </a:p>
      </xdr:txBody>
    </xdr:sp>
    <xdr:clientData fLocksWithSheet="0"/>
  </xdr:oneCellAnchor>
  <xdr:oneCellAnchor>
    <xdr:from>
      <xdr:col>12</xdr:col>
      <xdr:colOff>0</xdr:colOff>
      <xdr:row>36</xdr:row>
      <xdr:rowOff>0</xdr:rowOff>
    </xdr:from>
    <xdr:ext cx="12306300" cy="428625"/>
    <xdr:sp>
      <xdr:nvSpPr>
        <xdr:cNvPr id="6" name="Shape 6"/>
        <xdr:cNvSpPr txBox="1"/>
      </xdr:nvSpPr>
      <xdr:spPr>
        <a:xfrm>
          <a:off x="0" y="3570450"/>
          <a:ext cx="10692000" cy="419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b="0" i="0" lang="en-US" sz="1100">
              <a:solidFill>
                <a:schemeClr val="dk1"/>
              </a:solidFill>
              <a:latin typeface="Calibri"/>
              <a:ea typeface="Calibri"/>
              <a:cs typeface="Calibri"/>
              <a:sym typeface="Calibri"/>
            </a:rPr>
            <a:t>4.     What is the value of the test statistic?  What is the distribution of the test statistic?</a:t>
          </a:r>
          <a:r>
            <a:rPr lang="en-US" sz="1100">
              <a:solidFill>
                <a:schemeClr val="dk1"/>
              </a:solidFill>
              <a:latin typeface="Calibri"/>
              <a:ea typeface="Calibri"/>
              <a:cs typeface="Calibri"/>
              <a:sym typeface="Calibri"/>
            </a:rPr>
            <a:t>   </a:t>
          </a:r>
          <a:r>
            <a:rPr b="0" i="0" lang="en-US" sz="1100">
              <a:solidFill>
                <a:schemeClr val="dk1"/>
              </a:solidFill>
              <a:latin typeface="Calibri"/>
              <a:ea typeface="Calibri"/>
              <a:cs typeface="Calibri"/>
              <a:sym typeface="Calibri"/>
            </a:rPr>
            <a:t> (Click on the cells with a red border to create your answer.)</a:t>
          </a:r>
          <a:endParaRPr sz="1100"/>
        </a:p>
        <a:p>
          <a:pPr indent="0" lvl="0" marL="0" rtl="0" algn="l">
            <a:spcBef>
              <a:spcPts val="0"/>
            </a:spcBef>
            <a:spcAft>
              <a:spcPts val="0"/>
            </a:spcAft>
            <a:buNone/>
          </a:pPr>
          <a:r>
            <a:t/>
          </a:r>
          <a:endParaRPr sz="1100"/>
        </a:p>
      </xdr:txBody>
    </xdr:sp>
    <xdr:clientData fLocksWithSheet="0"/>
  </xdr:oneCellAnchor>
  <xdr:oneCellAnchor>
    <xdr:from>
      <xdr:col>12</xdr:col>
      <xdr:colOff>0</xdr:colOff>
      <xdr:row>40</xdr:row>
      <xdr:rowOff>171450</xdr:rowOff>
    </xdr:from>
    <xdr:ext cx="9629775" cy="571500"/>
    <xdr:sp>
      <xdr:nvSpPr>
        <xdr:cNvPr id="7" name="Shape 7"/>
        <xdr:cNvSpPr txBox="1"/>
      </xdr:nvSpPr>
      <xdr:spPr>
        <a:xfrm>
          <a:off x="535875" y="3499013"/>
          <a:ext cx="9620250" cy="5619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b="0" i="0" lang="en-US" sz="1100">
              <a:solidFill>
                <a:schemeClr val="dk1"/>
              </a:solidFill>
              <a:latin typeface="Calibri"/>
              <a:ea typeface="Calibri"/>
              <a:cs typeface="Calibri"/>
              <a:sym typeface="Calibri"/>
            </a:rPr>
            <a:t>5.     Find the p-value of the test and state your conclusion at alpha=0.05.</a:t>
          </a:r>
          <a:r>
            <a:rPr lang="en-US" sz="1100">
              <a:solidFill>
                <a:schemeClr val="dk1"/>
              </a:solidFill>
              <a:latin typeface="Calibri"/>
              <a:ea typeface="Calibri"/>
              <a:cs typeface="Calibri"/>
              <a:sym typeface="Calibri"/>
            </a:rPr>
            <a:t>  </a:t>
          </a:r>
          <a:r>
            <a:rPr b="0" i="0" lang="en-US" sz="1100">
              <a:solidFill>
                <a:schemeClr val="dk1"/>
              </a:solidFill>
              <a:latin typeface="Calibri"/>
              <a:ea typeface="Calibri"/>
              <a:cs typeface="Calibri"/>
              <a:sym typeface="Calibri"/>
            </a:rPr>
            <a:t> (Click on the cells with a red border to create your answer.)</a:t>
          </a:r>
          <a:endParaRPr sz="1100"/>
        </a:p>
        <a:p>
          <a:pPr indent="0" lvl="0" marL="0" rtl="0" algn="l">
            <a:spcBef>
              <a:spcPts val="0"/>
            </a:spcBef>
            <a:spcAft>
              <a:spcPts val="0"/>
            </a:spcAft>
            <a:buNone/>
          </a:pPr>
          <a:r>
            <a:t/>
          </a:r>
          <a:endParaRPr sz="1100"/>
        </a:p>
      </xdr:txBody>
    </xdr:sp>
    <xdr:clientData fLocksWithSheet="0"/>
  </xdr:oneCellAnchor>
  <xdr:oneCellAnchor>
    <xdr:from>
      <xdr:col>12</xdr:col>
      <xdr:colOff>0</xdr:colOff>
      <xdr:row>48</xdr:row>
      <xdr:rowOff>171450</xdr:rowOff>
    </xdr:from>
    <xdr:ext cx="11572875" cy="3095625"/>
    <xdr:sp>
      <xdr:nvSpPr>
        <xdr:cNvPr id="8" name="Shape 8"/>
        <xdr:cNvSpPr txBox="1"/>
      </xdr:nvSpPr>
      <xdr:spPr>
        <a:xfrm>
          <a:off x="0" y="2236950"/>
          <a:ext cx="10692000" cy="3086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After</a:t>
          </a:r>
          <a:r>
            <a:rPr b="0" i="0" lang="en-US" sz="1100">
              <a:solidFill>
                <a:schemeClr val="dk1"/>
              </a:solidFill>
              <a:latin typeface="Calibri"/>
              <a:ea typeface="Calibri"/>
              <a:cs typeface="Calibri"/>
              <a:sym typeface="Calibri"/>
            </a:rPr>
            <a:t> so much work, you realized that Excel can do all this calculations with a few "clicks"! Using the Analysis Toolpak, show the Excel output fot the hypothesis testing you are conducting. Hint: look the figure below:</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rPr lang="en-US" sz="1100">
              <a:solidFill>
                <a:schemeClr val="dk1"/>
              </a:solidFill>
              <a:latin typeface="Calibri"/>
              <a:ea typeface="Calibri"/>
              <a:cs typeface="Calibri"/>
              <a:sym typeface="Calibri"/>
            </a:rPr>
            <a:t>You</a:t>
          </a:r>
          <a:r>
            <a:rPr lang="en-US" sz="1100">
              <a:solidFill>
                <a:schemeClr val="dk1"/>
              </a:solidFill>
              <a:latin typeface="Calibri"/>
              <a:ea typeface="Calibri"/>
              <a:cs typeface="Calibri"/>
              <a:sym typeface="Calibri"/>
            </a:rPr>
            <a:t> need to separate costs for males and females from the NorthEast in two separate columns, and enter them in "Variable 1 Range and Variable 2 Range, respectively. </a:t>
          </a:r>
          <a:endParaRPr sz="1400"/>
        </a:p>
        <a:p>
          <a:pPr indent="0" lvl="0" marL="0" rtl="0" algn="l">
            <a:spcBef>
              <a:spcPts val="0"/>
            </a:spcBef>
            <a:spcAft>
              <a:spcPts val="0"/>
            </a:spcAft>
            <a:buNone/>
          </a:pPr>
          <a:r>
            <a:rPr lang="en-US" sz="1100">
              <a:solidFill>
                <a:schemeClr val="dk1"/>
              </a:solidFill>
              <a:latin typeface="Calibri"/>
              <a:ea typeface="Calibri"/>
              <a:cs typeface="Calibri"/>
              <a:sym typeface="Calibri"/>
            </a:rPr>
            <a:t>6.  Enter the Excel output in the red box below. You should get the same results you got with the manual calculations above.</a:t>
          </a:r>
          <a:endParaRPr sz="1100"/>
        </a:p>
      </xdr:txBody>
    </xdr:sp>
    <xdr:clientData fLocksWithSheet="0"/>
  </xdr:oneCellAnchor>
  <xdr:oneCellAnchor>
    <xdr:from>
      <xdr:col>12</xdr:col>
      <xdr:colOff>0</xdr:colOff>
      <xdr:row>94</xdr:row>
      <xdr:rowOff>114300</xdr:rowOff>
    </xdr:from>
    <xdr:ext cx="7505700" cy="704850"/>
    <xdr:sp>
      <xdr:nvSpPr>
        <xdr:cNvPr id="9" name="Shape 9"/>
        <xdr:cNvSpPr txBox="1"/>
      </xdr:nvSpPr>
      <xdr:spPr>
        <a:xfrm>
          <a:off x="1597913" y="3432338"/>
          <a:ext cx="7496175" cy="6953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8.  Using pivot tables, create a contingency table for the the categorial variables tested,</a:t>
          </a:r>
          <a:r>
            <a:rPr b="0" i="0" lang="en-US" sz="1100">
              <a:solidFill>
                <a:schemeClr val="dk1"/>
              </a:solidFill>
              <a:latin typeface="Calibri"/>
              <a:ea typeface="Calibri"/>
              <a:cs typeface="Calibri"/>
              <a:sym typeface="Calibri"/>
            </a:rPr>
            <a:t> and another one displaying the expected values (you will understand what "expected means once you know which test to perform). Fill up the two tables below:</a:t>
          </a:r>
          <a:endParaRPr sz="1100"/>
        </a:p>
        <a:p>
          <a:pPr indent="0" lvl="0" marL="0" rtl="0" algn="l">
            <a:spcBef>
              <a:spcPts val="0"/>
            </a:spcBef>
            <a:spcAft>
              <a:spcPts val="0"/>
            </a:spcAft>
            <a:buNone/>
          </a:pPr>
          <a:r>
            <a:t/>
          </a:r>
          <a:endParaRPr sz="1100"/>
        </a:p>
      </xdr:txBody>
    </xdr:sp>
    <xdr:clientData fLocksWithSheet="0"/>
  </xdr:oneCellAnchor>
  <xdr:oneCellAnchor>
    <xdr:from>
      <xdr:col>12</xdr:col>
      <xdr:colOff>0</xdr:colOff>
      <xdr:row>31</xdr:row>
      <xdr:rowOff>38100</xdr:rowOff>
    </xdr:from>
    <xdr:ext cx="12325350" cy="304800"/>
    <xdr:sp>
      <xdr:nvSpPr>
        <xdr:cNvPr id="10" name="Shape 10"/>
        <xdr:cNvSpPr txBox="1"/>
      </xdr:nvSpPr>
      <xdr:spPr>
        <a:xfrm>
          <a:off x="0" y="3632363"/>
          <a:ext cx="10692000" cy="2952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3.     State the null and alternative hypotheses.</a:t>
          </a:r>
          <a:r>
            <a:rPr b="0" i="0" lang="en-US" sz="1100">
              <a:solidFill>
                <a:schemeClr val="dk1"/>
              </a:solidFill>
              <a:latin typeface="Calibri"/>
              <a:ea typeface="Calibri"/>
              <a:cs typeface="Calibri"/>
              <a:sym typeface="Calibri"/>
            </a:rPr>
            <a:t>  (Click on the cells with a red border to create your answer.)</a:t>
          </a:r>
          <a:r>
            <a:rPr b="0" i="0" lang="en-US" sz="1100">
              <a:solidFill>
                <a:schemeClr val="dk1"/>
              </a:solidFill>
              <a:latin typeface="Calibri"/>
              <a:ea typeface="Calibri"/>
              <a:cs typeface="Calibri"/>
              <a:sym typeface="Calibri"/>
            </a:rPr>
            <a:t> </a:t>
          </a:r>
          <a:r>
            <a:rPr lang="en-US" sz="1100">
              <a:solidFill>
                <a:schemeClr val="dk1"/>
              </a:solidFill>
              <a:latin typeface="Calibri"/>
              <a:ea typeface="Calibri"/>
              <a:cs typeface="Calibri"/>
              <a:sym typeface="Calibri"/>
            </a:rPr>
            <a:t> </a:t>
          </a:r>
          <a:endParaRPr sz="1100"/>
        </a:p>
      </xdr:txBody>
    </xdr:sp>
    <xdr:clientData fLocksWithSheet="0"/>
  </xdr:oneCellAnchor>
  <xdr:oneCellAnchor>
    <xdr:from>
      <xdr:col>16</xdr:col>
      <xdr:colOff>447675</xdr:colOff>
      <xdr:row>55</xdr:row>
      <xdr:rowOff>104775</xdr:rowOff>
    </xdr:from>
    <xdr:ext cx="1181100" cy="352425"/>
    <xdr:sp>
      <xdr:nvSpPr>
        <xdr:cNvPr id="11" name="Shape 11"/>
        <xdr:cNvSpPr/>
      </xdr:nvSpPr>
      <xdr:spPr>
        <a:xfrm>
          <a:off x="4760213" y="3608550"/>
          <a:ext cx="1171575" cy="342900"/>
        </a:xfrm>
        <a:prstGeom prst="rightArrow">
          <a:avLst>
            <a:gd fmla="val 50000" name="adj1"/>
            <a:gd fmla="val 50000" name="adj2"/>
          </a:avLst>
        </a:prstGeom>
        <a:solidFill>
          <a:schemeClr val="accent1"/>
        </a:solidFill>
        <a:ln cap="flat" cmpd="sng" w="12700">
          <a:solidFill>
            <a:srgbClr val="1C3052"/>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12</xdr:col>
      <xdr:colOff>0</xdr:colOff>
      <xdr:row>81</xdr:row>
      <xdr:rowOff>0</xdr:rowOff>
    </xdr:from>
    <xdr:ext cx="12849225" cy="809625"/>
    <xdr:sp>
      <xdr:nvSpPr>
        <xdr:cNvPr id="12" name="Shape 12"/>
        <xdr:cNvSpPr txBox="1"/>
      </xdr:nvSpPr>
      <xdr:spPr>
        <a:xfrm>
          <a:off x="0" y="3379950"/>
          <a:ext cx="10692000" cy="8001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b="0" i="0" lang="en-US" sz="1100">
              <a:solidFill>
                <a:schemeClr val="dk1"/>
              </a:solidFill>
              <a:latin typeface="Calibri"/>
              <a:ea typeface="Calibri"/>
              <a:cs typeface="Calibri"/>
              <a:sym typeface="Calibri"/>
            </a:rPr>
            <a:t>7. After discovering that your hypothesis is not supported by enough evidence, you decide to look into another aspect of this dataset. You want to investigate whether payment method and time of the day in the NorthEast region are associated or not. In other words, you want to understand if specific payment methods are used on different time of the day, of if this doesn't matter. You first need to figure out which hypothesis test to use to answer your research question, and state the null and alternative hypothesis for this test. </a:t>
          </a:r>
          <a:endParaRPr sz="1100"/>
        </a:p>
      </xdr:txBody>
    </xdr:sp>
    <xdr:clientData fLocksWithSheet="0"/>
  </xdr:oneCellAnchor>
  <xdr:oneCellAnchor>
    <xdr:from>
      <xdr:col>11</xdr:col>
      <xdr:colOff>447675</xdr:colOff>
      <xdr:row>111</xdr:row>
      <xdr:rowOff>57150</xdr:rowOff>
    </xdr:from>
    <xdr:ext cx="7515225" cy="361950"/>
    <xdr:sp>
      <xdr:nvSpPr>
        <xdr:cNvPr id="13" name="Shape 13"/>
        <xdr:cNvSpPr txBox="1"/>
      </xdr:nvSpPr>
      <xdr:spPr>
        <a:xfrm>
          <a:off x="1593150" y="3603788"/>
          <a:ext cx="7505700" cy="352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9.  What is</a:t>
          </a:r>
          <a:r>
            <a:rPr b="0" i="0" lang="en-US" sz="1100">
              <a:solidFill>
                <a:schemeClr val="dk1"/>
              </a:solidFill>
              <a:latin typeface="Calibri"/>
              <a:ea typeface="Calibri"/>
              <a:cs typeface="Calibri"/>
              <a:sym typeface="Calibri"/>
            </a:rPr>
            <a:t> the p-value for this test?</a:t>
          </a:r>
          <a:endParaRPr sz="1100"/>
        </a:p>
      </xdr:txBody>
    </xdr:sp>
    <xdr:clientData fLocksWithSheet="0"/>
  </xdr:oneCellAnchor>
  <xdr:oneCellAnchor>
    <xdr:from>
      <xdr:col>12</xdr:col>
      <xdr:colOff>0</xdr:colOff>
      <xdr:row>116</xdr:row>
      <xdr:rowOff>0</xdr:rowOff>
    </xdr:from>
    <xdr:ext cx="7505700" cy="352425"/>
    <xdr:sp>
      <xdr:nvSpPr>
        <xdr:cNvPr id="14" name="Shape 14"/>
        <xdr:cNvSpPr txBox="1"/>
      </xdr:nvSpPr>
      <xdr:spPr>
        <a:xfrm>
          <a:off x="1597913" y="3608550"/>
          <a:ext cx="7496175" cy="3429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0" i="0" lang="en-US" sz="1100">
              <a:solidFill>
                <a:schemeClr val="dk1"/>
              </a:solidFill>
              <a:latin typeface="Calibri"/>
              <a:ea typeface="Calibri"/>
              <a:cs typeface="Calibri"/>
              <a:sym typeface="Calibri"/>
            </a:rPr>
            <a:t>10.  What is</a:t>
          </a:r>
          <a:r>
            <a:rPr b="0" i="0" lang="en-US" sz="1100">
              <a:solidFill>
                <a:schemeClr val="dk1"/>
              </a:solidFill>
              <a:latin typeface="Calibri"/>
              <a:ea typeface="Calibri"/>
              <a:cs typeface="Calibri"/>
              <a:sym typeface="Calibri"/>
            </a:rPr>
            <a:t> the test statistic?</a:t>
          </a:r>
          <a:endParaRPr sz="1100"/>
        </a:p>
      </xdr:txBody>
    </xdr:sp>
    <xdr:clientData fLocksWithSheet="0"/>
  </xdr:oneCellAnchor>
  <xdr:oneCellAnchor>
    <xdr:from>
      <xdr:col>12</xdr:col>
      <xdr:colOff>9525</xdr:colOff>
      <xdr:row>120</xdr:row>
      <xdr:rowOff>114300</xdr:rowOff>
    </xdr:from>
    <xdr:ext cx="7686675" cy="361950"/>
    <xdr:sp>
      <xdr:nvSpPr>
        <xdr:cNvPr id="15" name="Shape 15"/>
        <xdr:cNvSpPr txBox="1"/>
      </xdr:nvSpPr>
      <xdr:spPr>
        <a:xfrm>
          <a:off x="1507425" y="3603788"/>
          <a:ext cx="7677150" cy="35242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Clr>
              <a:schemeClr val="dk1"/>
            </a:buClr>
            <a:buSzPts val="1100"/>
            <a:buFont typeface="Calibri"/>
            <a:buNone/>
          </a:pPr>
          <a:r>
            <a:rPr b="0" i="0" lang="en-US" sz="1100">
              <a:solidFill>
                <a:schemeClr val="dk1"/>
              </a:solidFill>
              <a:latin typeface="Calibri"/>
              <a:ea typeface="Calibri"/>
              <a:cs typeface="Calibri"/>
              <a:sym typeface="Calibri"/>
            </a:rPr>
            <a:t>11.  State your conclusion at alpha=0.05</a:t>
          </a:r>
          <a:r>
            <a:rPr b="0" i="0" lang="en-US" sz="1100">
              <a:solidFill>
                <a:schemeClr val="dk1"/>
              </a:solidFill>
              <a:latin typeface="Calibri"/>
              <a:ea typeface="Calibri"/>
              <a:cs typeface="Calibri"/>
              <a:sym typeface="Calibri"/>
            </a:rPr>
            <a:t> and alpha=0.1</a:t>
          </a:r>
          <a:r>
            <a:rPr b="0" i="0" lang="en-US" sz="1100">
              <a:solidFill>
                <a:schemeClr val="dk1"/>
              </a:solidFill>
              <a:latin typeface="Calibri"/>
              <a:ea typeface="Calibri"/>
              <a:cs typeface="Calibri"/>
              <a:sym typeface="Calibri"/>
            </a:rPr>
            <a:t>.</a:t>
          </a:r>
          <a:r>
            <a:rPr lang="en-US" sz="1100">
              <a:solidFill>
                <a:schemeClr val="dk1"/>
              </a:solidFill>
              <a:latin typeface="Calibri"/>
              <a:ea typeface="Calibri"/>
              <a:cs typeface="Calibri"/>
              <a:sym typeface="Calibri"/>
            </a:rPr>
            <a:t>  </a:t>
          </a:r>
          <a:r>
            <a:rPr b="0" i="0" lang="en-US" sz="1100">
              <a:solidFill>
                <a:schemeClr val="dk1"/>
              </a:solidFill>
              <a:latin typeface="Calibri"/>
              <a:ea typeface="Calibri"/>
              <a:cs typeface="Calibri"/>
              <a:sym typeface="Calibri"/>
            </a:rPr>
            <a:t> (Click on the cells with a red border to create your answer.)</a:t>
          </a:r>
          <a:endParaRPr sz="1100"/>
        </a:p>
        <a:p>
          <a:pPr indent="0" lvl="0" marL="0" rtl="0" algn="l">
            <a:spcBef>
              <a:spcPts val="0"/>
            </a:spcBef>
            <a:spcAft>
              <a:spcPts val="0"/>
            </a:spcAft>
            <a:buNone/>
          </a:pPr>
          <a:r>
            <a:t/>
          </a:r>
          <a:endParaRPr sz="1100"/>
        </a:p>
      </xdr:txBody>
    </xdr:sp>
    <xdr:clientData fLocksWithSheet="0"/>
  </xdr:oneCellAnchor>
  <xdr:oneCellAnchor>
    <xdr:from>
      <xdr:col>14</xdr:col>
      <xdr:colOff>847725</xdr:colOff>
      <xdr:row>23</xdr:row>
      <xdr:rowOff>85725</xdr:rowOff>
    </xdr:from>
    <xdr:ext cx="4714875" cy="6000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104775</xdr:colOff>
      <xdr:row>51</xdr:row>
      <xdr:rowOff>152400</xdr:rowOff>
    </xdr:from>
    <xdr:ext cx="3505200" cy="180975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18</xdr:col>
      <xdr:colOff>19050</xdr:colOff>
      <xdr:row>51</xdr:row>
      <xdr:rowOff>47625</xdr:rowOff>
    </xdr:from>
    <xdr:ext cx="2952750" cy="2009775"/>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H401" sheet="Exercise - Week 10 Students"/>
  </cacheSource>
  <cacheFields>
    <cacheField name="Date" numFmtId="164">
      <sharedItems containsSemiMixedTypes="0" containsDate="1" containsString="0">
        <d v="2013-03-10T00:00:00Z"/>
        <d v="2013-03-11T00:00:00Z"/>
        <d v="2013-03-12T00:00:00Z"/>
        <d v="2013-03-13T00:00:00Z"/>
        <d v="2013-03-14T00:00:00Z"/>
        <d v="2013-03-15T00:00:00Z"/>
        <d v="2013-03-16T00:00:00Z"/>
        <d v="2013-03-17T00:00:00Z"/>
        <d v="2013-03-18T00:00:00Z"/>
        <d v="2013-03-19T00:00:00Z"/>
        <d v="2013-03-20T00:00:00Z"/>
        <d v="2013-03-21T00:00:00Z"/>
        <d v="2013-03-22T00:00:00Z"/>
        <d v="2013-03-23T00:00:00Z"/>
        <d v="2013-03-24T00:00:00Z"/>
        <d v="2013-03-25T00:00:00Z"/>
        <d v="2013-03-26T00:00:00Z"/>
        <d v="2013-03-27T00:00:00Z"/>
        <d v="2013-03-28T00:00:00Z"/>
        <d v="2013-03-29T00:00:00Z"/>
        <d v="2013-03-30T00:00:00Z"/>
        <d v="2013-03-31T00:00:00Z"/>
        <d v="2013-04-01T00:00:00Z"/>
        <d v="2013-04-02T00:00:00Z"/>
        <d v="2013-04-03T00:00:00Z"/>
        <d v="2013-04-04T00:00:00Z"/>
        <d v="2013-04-05T00:00:00Z"/>
        <d v="2013-04-06T00:00:00Z"/>
        <d v="2013-04-07T00:00:00Z"/>
        <d v="2013-04-08T00:00:00Z"/>
        <d v="2013-04-09T00:00:00Z"/>
        <d v="2013-04-10T00:00:00Z"/>
        <d v="2013-04-11T00:00:00Z"/>
        <d v="2013-04-12T00:00:00Z"/>
        <d v="2013-04-13T00:00:00Z"/>
        <d v="2013-04-14T00:00:00Z"/>
        <d v="2013-04-15T00:00:00Z"/>
        <d v="2013-04-16T00:00:00Z"/>
        <d v="2013-04-17T00:00:00Z"/>
        <d v="2013-04-18T00:00:00Z"/>
        <d v="2013-04-19T00:00:00Z"/>
        <d v="2013-04-20T00:00:00Z"/>
        <d v="2013-04-21T00:00:00Z"/>
        <d v="2013-04-22T00:00:00Z"/>
        <d v="2013-04-23T00:00:00Z"/>
        <d v="2013-04-24T00:00:00Z"/>
        <d v="2013-04-25T00:00:00Z"/>
        <d v="2013-04-26T00:00:00Z"/>
        <d v="2013-04-27T00:00:00Z"/>
        <d v="2013-04-28T00:00:00Z"/>
        <d v="2013-04-29T00:00:00Z"/>
        <d v="2013-04-30T00:00:00Z"/>
        <d v="2013-05-01T00:00:00Z"/>
        <d v="2013-05-02T00:00:00Z"/>
        <d v="2013-05-03T00:00:00Z"/>
        <d v="2013-05-04T00:00:00Z"/>
        <d v="2013-05-05T00:00:00Z"/>
        <d v="2013-05-06T00:00:00Z"/>
        <d v="2013-05-07T00:00:00Z"/>
        <d v="2013-05-08T00:00:00Z"/>
        <d v="2013-05-09T00:00:00Z"/>
        <d v="2013-05-10T00:00:00Z"/>
        <d v="2013-05-11T00:00:00Z"/>
        <d v="2013-05-12T00:00:00Z"/>
        <d v="2013-05-13T00:00:00Z"/>
        <d v="2013-05-14T00:00:00Z"/>
        <d v="2013-05-15T00:00:00Z"/>
        <d v="2013-05-16T00:00:00Z"/>
        <d v="2013-05-17T00:00:00Z"/>
        <d v="2013-05-18T00:00:00Z"/>
        <d v="2013-05-19T00:00:00Z"/>
        <d v="2013-05-20T00:00:00Z"/>
        <d v="2013-05-21T00:00:00Z"/>
        <d v="2013-05-22T00:00:00Z"/>
        <d v="2013-05-23T00:00:00Z"/>
        <d v="2013-05-24T00:00:00Z"/>
        <d v="2013-05-25T00:00:00Z"/>
        <d v="2013-05-26T00:00:00Z"/>
        <d v="2013-05-27T00:00:00Z"/>
        <d v="2013-05-28T00:00:00Z"/>
        <d v="2013-05-29T00:00:00Z"/>
        <d v="2013-05-30T00:00:00Z"/>
        <d v="2013-05-31T00:00:00Z"/>
        <d v="2013-06-01T00:00:00Z"/>
        <d v="2013-06-02T00:00:00Z"/>
        <d v="2013-06-03T00:00:00Z"/>
        <d v="2013-06-04T00:00:00Z"/>
        <d v="2013-06-05T00:00:00Z"/>
        <d v="2013-06-06T00:00:00Z"/>
        <d v="2013-06-07T00:00:00Z"/>
        <d v="2013-06-08T00:00:00Z"/>
        <d v="2013-06-09T00:00:00Z"/>
        <d v="2013-06-10T00:00:00Z"/>
        <d v="2013-06-11T00:00:00Z"/>
        <d v="2013-06-12T00:00:00Z"/>
        <d v="2013-06-13T00:00:00Z"/>
        <d v="2013-06-14T00:00:00Z"/>
        <d v="2013-06-15T00:00:00Z"/>
        <d v="2013-06-16T00:00:00Z"/>
        <d v="2013-06-17T00:00:00Z"/>
        <d v="2013-06-18T00:00:00Z"/>
        <d v="2013-06-19T00:00:00Z"/>
        <d v="2013-06-20T00:00:00Z"/>
        <d v="2013-06-21T00:00:00Z"/>
        <d v="2013-06-22T00:00:00Z"/>
        <d v="2013-06-23T00:00:00Z"/>
        <d v="2013-06-24T00:00:00Z"/>
        <d v="2013-06-25T00:00:00Z"/>
        <d v="2013-06-26T00:00:00Z"/>
        <d v="2013-06-27T00:00:00Z"/>
        <d v="2013-06-28T00:00:00Z"/>
        <d v="2013-06-29T00:00:00Z"/>
      </sharedItems>
    </cacheField>
    <cacheField name="Day" numFmtId="165">
      <sharedItems containsSemiMixedTypes="0" containsDate="1" containsString="0">
        <d v="1899-12-31T00:00:00Z"/>
        <d v="1900-01-01T00:00:00Z"/>
        <d v="1900-01-02T00:00:00Z"/>
        <d v="1900-01-03T00:00:00Z"/>
        <d v="1900-01-04T00:00:00Z"/>
        <d v="1900-01-05T00:00:00Z"/>
        <d v="1900-01-06T00:00:00Z"/>
      </sharedItems>
    </cacheField>
    <cacheField name="Time" numFmtId="0">
      <sharedItems>
        <s v="Morning"/>
        <s v="Afternoon"/>
        <s v="Evening"/>
      </sharedItems>
    </cacheField>
    <cacheField name="Region" numFmtId="0">
      <sharedItems>
        <s v="West"/>
        <s v="NorthEast"/>
        <s v="South"/>
        <s v="MidWest"/>
      </sharedItems>
    </cacheField>
    <cacheField name="Paid With" numFmtId="0">
      <sharedItems>
        <s v="VISA"/>
        <s v="Mastercard"/>
        <s v="Cash"/>
      </sharedItems>
    </cacheField>
    <cacheField name="Gender" numFmtId="0">
      <sharedItems>
        <s v="Female"/>
        <s v="Male"/>
      </sharedItems>
    </cacheField>
    <cacheField name="Items Ordered" numFmtId="0">
      <sharedItems containsSemiMixedTypes="0" containsString="0" containsNumber="1" containsInteger="1">
        <n v="4.0"/>
        <n v="1.0"/>
        <n v="5.0"/>
        <n v="2.0"/>
        <n v="3.0"/>
        <n v="6.0"/>
        <n v="9.0"/>
        <n v="7.0"/>
        <n v="8.0"/>
        <n v="10.0"/>
        <n v="11.0"/>
      </sharedItems>
    </cacheField>
    <cacheField name="Total Cost" numFmtId="166">
      <sharedItems containsSemiMixedTypes="0" containsString="0" containsNumber="1">
        <n v="136.97"/>
        <n v="25.55"/>
        <n v="113.95"/>
        <n v="6.82"/>
        <n v="147.32"/>
        <n v="142.15"/>
        <n v="18.65"/>
        <n v="178.34"/>
        <n v="25.83"/>
        <n v="18.13"/>
        <n v="54.52"/>
        <n v="61.93"/>
        <n v="147.68"/>
        <n v="27.24"/>
        <n v="46.18"/>
        <n v="107.44"/>
        <n v="96.53"/>
        <n v="77.44"/>
        <n v="15.19"/>
        <n v="45.52"/>
        <n v="157.05"/>
        <n v="51.95"/>
        <n v="429.98"/>
        <n v="33.37"/>
        <n v="71.84"/>
        <n v="139.51"/>
        <n v="78.46"/>
        <n v="125.13"/>
        <n v="14.76"/>
        <n v="83.38"/>
        <n v="104.91"/>
        <n v="101.37"/>
        <n v="53.16"/>
        <n v="40.63"/>
        <n v="286.41"/>
        <n v="59.39"/>
        <n v="185.45"/>
        <n v="35.08"/>
        <n v="91.62"/>
        <n v="155.5"/>
        <n v="20.89"/>
        <n v="186.29"/>
        <n v="42.22"/>
        <n v="42.19"/>
        <n v="47.86"/>
        <n v="139.76"/>
        <n v="186.42"/>
        <n v="54.08"/>
        <n v="84.98"/>
        <n v="27.13"/>
        <n v="54.7"/>
        <n v="229.54"/>
        <n v="124.21"/>
        <n v="26.39"/>
        <n v="106.97"/>
        <n v="377.18"/>
        <n v="24.31"/>
        <n v="34.47"/>
        <n v="106.19"/>
        <n v="55.3"/>
        <n v="82.98"/>
        <n v="101.79"/>
        <n v="99.28"/>
        <n v="100.09"/>
        <n v="88.91"/>
        <n v="62.58"/>
        <n v="28.87"/>
        <n v="141.29"/>
        <n v="66.54"/>
        <n v="69.03"/>
        <n v="65.51"/>
        <n v="35.59"/>
        <n v="320.18"/>
        <n v="128.57"/>
        <n v="248.42"/>
        <n v="50.04"/>
        <n v="145.48"/>
        <n v="403.6"/>
        <n v="284.14"/>
        <n v="81.14"/>
        <n v="82.36"/>
        <n v="32.65"/>
        <n v="200.7"/>
        <n v="99.13"/>
        <n v="85.88"/>
        <n v="183.52"/>
        <n v="53.87"/>
        <n v="44.08"/>
        <n v="82.34"/>
        <n v="151.29"/>
        <n v="87.02"/>
        <n v="54.96"/>
        <n v="65.11"/>
        <n v="76.69"/>
        <n v="48.38"/>
        <n v="76.64"/>
        <n v="130.0"/>
        <n v="218.29"/>
        <n v="38.1"/>
        <n v="100.02"/>
        <n v="248.73"/>
        <n v="25.8"/>
        <n v="52.83"/>
        <n v="131.89"/>
        <n v="82.69"/>
        <n v="70.03"/>
        <n v="102.86"/>
        <n v="174.13"/>
        <n v="49.8"/>
        <n v="29.97"/>
        <n v="82.53"/>
        <n v="142.76"/>
        <n v="72.58"/>
        <n v="55.39"/>
        <n v="206.39"/>
        <n v="245.67"/>
        <n v="265.69"/>
        <n v="124.46"/>
        <n v="206.26"/>
        <n v="306.23"/>
        <n v="48.12"/>
        <n v="261.44"/>
        <n v="59.9"/>
        <n v="49.73"/>
        <n v="65.06"/>
        <n v="97.71"/>
        <n v="49.84"/>
        <n v="233.94"/>
        <n v="370.26"/>
        <n v="313.11"/>
        <n v="141.77"/>
        <n v="27.99"/>
        <n v="81.34"/>
        <n v="97.15"/>
        <n v="352.49"/>
        <n v="88.75"/>
        <n v="107.95"/>
        <n v="186.22"/>
        <n v="159.23"/>
        <n v="82.43"/>
        <n v="99.42"/>
        <n v="79.32"/>
        <n v="160.01"/>
        <n v="51.99"/>
        <n v="267.67"/>
        <n v="429.22"/>
        <n v="46.2"/>
        <n v="240.02"/>
        <n v="157.14"/>
        <n v="140.4"/>
        <n v="204.93"/>
        <n v="88.18"/>
        <n v="95.47"/>
        <n v="224.73"/>
        <n v="344.73"/>
        <n v="185.32"/>
        <n v="297.31"/>
        <n v="223.32"/>
        <n v="164.4"/>
        <n v="123.57"/>
        <n v="236.97"/>
        <n v="82.75"/>
        <n v="307.75"/>
        <n v="200.73"/>
        <n v="242.06"/>
        <n v="215.09"/>
        <n v="162.9"/>
        <n v="214.31"/>
        <n v="42.07"/>
        <n v="69.05"/>
        <n v="148.9"/>
        <n v="105.74"/>
        <n v="138.32"/>
        <n v="61.71"/>
        <n v="120.11"/>
        <n v="72.8"/>
        <n v="134.86"/>
        <n v="89.75"/>
        <n v="220.04"/>
        <n v="168.39"/>
        <n v="277.8"/>
        <n v="130.49"/>
        <n v="94.39"/>
        <n v="120.48"/>
        <n v="304.95"/>
        <n v="389.79"/>
        <n v="161.08"/>
        <n v="69.61"/>
        <n v="59.99"/>
        <n v="120.78"/>
        <n v="82.3"/>
        <n v="91.88"/>
        <n v="87.1"/>
        <n v="70.1"/>
        <n v="106.67"/>
        <n v="34.31"/>
        <n v="77.69"/>
        <n v="85.31"/>
        <n v="65.92"/>
        <n v="89.98"/>
        <n v="102.07"/>
        <n v="199.83"/>
        <n v="134.21"/>
        <n v="188.41"/>
        <n v="102.72"/>
        <n v="85.63"/>
        <n v="206.87"/>
        <n v="141.22"/>
        <n v="463.4"/>
        <n v="166.54"/>
        <n v="260.62"/>
        <n v="79.16"/>
        <n v="320.4"/>
        <n v="79.01"/>
        <n v="126.22"/>
        <n v="263.45"/>
        <n v="135.86"/>
        <n v="98.74"/>
        <n v="101.05"/>
        <n v="361.6"/>
        <n v="120.56"/>
        <n v="52.68"/>
        <n v="99.51"/>
        <n v="85.29"/>
        <n v="143.59"/>
        <n v="197.13"/>
        <n v="190.74"/>
        <n v="111.44"/>
        <n v="153.39"/>
        <n v="65.4"/>
        <n v="448.2"/>
        <n v="123.19"/>
        <n v="210.28"/>
        <n v="349.46"/>
        <n v="290.63"/>
        <n v="103.03"/>
        <n v="112.54"/>
        <n v="399.36"/>
        <n v="68.18"/>
        <n v="146.58"/>
        <n v="309.5"/>
        <n v="177.96"/>
        <n v="119.46"/>
        <n v="119.66"/>
        <n v="168.87"/>
        <n v="192.39"/>
        <n v="101.73"/>
        <n v="74.94"/>
        <n v="291.3"/>
        <n v="161.0"/>
        <n v="116.01"/>
        <n v="74.39"/>
        <n v="226.25"/>
        <n v="135.19"/>
        <n v="126.16"/>
        <n v="156.3"/>
        <n v="73.42"/>
        <n v="310.74"/>
        <n v="296.26"/>
        <n v="115.29"/>
        <n v="212.94"/>
        <n v="85.93"/>
        <n v="80.02"/>
        <n v="286.17"/>
        <n v="190.27"/>
        <n v="265.24"/>
        <n v="353.93"/>
        <n v="314.77"/>
        <n v="169.23"/>
        <n v="149.71"/>
        <n v="105.35"/>
        <n v="111.47"/>
        <n v="441.16"/>
        <n v="179.56"/>
        <n v="83.15"/>
        <n v="262.86"/>
        <n v="82.51"/>
        <n v="290.27"/>
        <n v="223.08"/>
        <n v="165.77"/>
        <n v="99.81"/>
        <n v="158.95"/>
        <n v="280.99"/>
        <n v="149.89"/>
        <n v="363.52"/>
        <n v="93.97"/>
        <n v="391.97"/>
        <n v="275.54"/>
        <n v="115.55"/>
        <n v="125.0"/>
        <n v="103.15"/>
        <n v="256.7"/>
        <n v="117.99"/>
        <n v="98.55"/>
        <n v="112.93"/>
        <n v="76.3"/>
        <n v="129.8"/>
        <n v="140.25"/>
        <n v="149.79"/>
        <n v="172.2"/>
        <n v="139.85"/>
        <n v="96.46"/>
        <n v="127.83"/>
        <n v="215.88"/>
        <n v="133.49"/>
        <n v="117.33"/>
        <n v="107.98"/>
        <n v="203.11"/>
        <n v="193.33"/>
        <n v="343.26"/>
        <n v="485.01"/>
        <n v="221.93"/>
        <n v="94.04"/>
        <n v="113.37"/>
        <n v="188.26"/>
        <n v="170.19"/>
        <n v="224.15"/>
        <n v="352.32"/>
        <n v="257.18"/>
        <n v="122.06"/>
        <n v="239.95"/>
        <n v="124.44"/>
        <n v="116.58"/>
        <n v="154.46"/>
        <n v="76.92"/>
        <n v="194.85"/>
        <n v="367.7"/>
        <n v="119.5"/>
        <n v="270.94"/>
        <n v="94.71"/>
        <n v="154.01"/>
        <n v="313.3"/>
        <n v="217.99"/>
        <n v="127.22"/>
        <n v="135.97"/>
        <n v="87.14"/>
        <n v="96.77"/>
        <n v="74.74"/>
        <n v="117.48"/>
        <n v="132.89"/>
        <n v="230.26"/>
        <n v="451.03"/>
        <n v="153.31"/>
        <n v="117.79"/>
        <n v="357.32"/>
        <n v="374.17"/>
        <n v="122.28"/>
        <n v="122.57"/>
        <n v="134.59"/>
        <n v="134.98"/>
        <n v="109.45"/>
        <n v="131.52"/>
        <n v="88.76"/>
        <n v="174.28"/>
        <n v="100.7"/>
        <n v="387.43"/>
        <n v="160.71"/>
        <n v="105.91"/>
        <n v="101.46"/>
        <n v="271.67"/>
        <n v="112.74"/>
        <n v="96.42"/>
        <n v="271.48"/>
        <n v="156.79"/>
        <n v="249.63"/>
        <n v="278.62"/>
        <n v="84.46"/>
        <n v="221.17"/>
        <n v="194.79"/>
        <n v="199.22"/>
        <n v="141.7"/>
        <n v="191.15"/>
        <n v="142.41"/>
        <n v="134.53"/>
        <n v="374.37"/>
        <n v="241.73"/>
        <n v="278.58"/>
        <n v="106.25"/>
        <n v="115.71"/>
        <n v="78.34"/>
        <n v="216.03"/>
        <n v="140.01"/>
        <n v="458.51"/>
        <n v="210.6"/>
        <n v="189.49"/>
        <n v="359.42"/>
        <n v="132.06"/>
        <n v="252.33"/>
        <n v="172.05"/>
        <n v="206.19"/>
        <n v="143.98"/>
        <n v="276.67"/>
        <n v="111.67"/>
        <n v="268.39"/>
        <n v="169.11"/>
        <n v="242.46"/>
        <n v="168.64"/>
        <n v="107.59"/>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Exercise - Week 10 Students" cacheId="0" dataCaption="" compact="0" compactData="0">
  <location ref="AA16:AD22"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Day" compact="0" numFmtId="165" outline="0" multipleItemSelectionAllowed="1" showAll="0">
      <items>
        <item x="0"/>
        <item x="1"/>
        <item x="2"/>
        <item x="3"/>
        <item x="4"/>
        <item x="5"/>
        <item x="6"/>
        <item t="default"/>
      </items>
    </pivotField>
    <pivotField name="Time" compact="0" outline="0" multipleItemSelectionAllowed="1" showAll="0">
      <items>
        <item x="0"/>
        <item x="1"/>
        <item x="2"/>
        <item t="default"/>
      </items>
    </pivotField>
    <pivotField name="Region" axis="axisRow" compact="0" outline="0" multipleItemSelectionAllowed="1" showAll="0" sortType="ascending">
      <items>
        <item x="3"/>
        <item x="1"/>
        <item x="2"/>
        <item x="0"/>
        <item t="default"/>
      </items>
    </pivotField>
    <pivotField name="Paid With" compact="0" outline="0" multipleItemSelectionAllowed="1" showAll="0">
      <items>
        <item x="0"/>
        <item x="1"/>
        <item x="2"/>
        <item t="default"/>
      </items>
    </pivotField>
    <pivotField name="Gender" axis="axisCol" compact="0" outline="0" multipleItemSelectionAllowed="1" showAll="0" sortType="ascending">
      <items>
        <item x="0"/>
        <item x="1"/>
        <item t="default"/>
      </items>
    </pivotField>
    <pivotField name="Items Ordered" compact="0" outline="0" multipleItemSelectionAllowed="1" showAll="0">
      <items>
        <item x="0"/>
        <item x="1"/>
        <item x="2"/>
        <item x="3"/>
        <item x="4"/>
        <item x="5"/>
        <item x="6"/>
        <item x="7"/>
        <item x="8"/>
        <item x="9"/>
        <item x="10"/>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s>
  <rowFields>
    <field x="3"/>
  </rowFields>
  <colFields>
    <field x="5"/>
  </colFields>
  <dataFields>
    <dataField name="AVERAGE of Total Cost" fld="7" subtotal="average" baseField="0"/>
  </dataFields>
</pivotTableDefinition>
</file>

<file path=xl/pivotTables/pivotTable2.xml><?xml version="1.0" encoding="utf-8"?>
<pivotTableDefinition xmlns="http://schemas.openxmlformats.org/spreadsheetml/2006/main" name="Exercise - Week 10 Students 2" cacheId="0" dataCaption="" compact="0" compactData="0">
  <location ref="AF16:AI22"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Day" compact="0" numFmtId="165" outline="0" multipleItemSelectionAllowed="1" showAll="0">
      <items>
        <item x="0"/>
        <item x="1"/>
        <item x="2"/>
        <item x="3"/>
        <item x="4"/>
        <item x="5"/>
        <item x="6"/>
        <item t="default"/>
      </items>
    </pivotField>
    <pivotField name="Time" compact="0" outline="0" multipleItemSelectionAllowed="1" showAll="0">
      <items>
        <item x="0"/>
        <item x="1"/>
        <item x="2"/>
        <item t="default"/>
      </items>
    </pivotField>
    <pivotField name="Region" axis="axisRow" compact="0" outline="0" multipleItemSelectionAllowed="1" showAll="0" sortType="ascending">
      <items>
        <item x="3"/>
        <item x="1"/>
        <item x="2"/>
        <item x="0"/>
        <item t="default"/>
      </items>
    </pivotField>
    <pivotField name="Paid With" compact="0" outline="0" multipleItemSelectionAllowed="1" showAll="0">
      <items>
        <item x="0"/>
        <item x="1"/>
        <item x="2"/>
        <item t="default"/>
      </items>
    </pivotField>
    <pivotField name="Gender" axis="axisCol" compact="0" outline="0" multipleItemSelectionAllowed="1" showAll="0" sortType="ascending">
      <items>
        <item x="0"/>
        <item x="1"/>
        <item t="default"/>
      </items>
    </pivotField>
    <pivotField name="Items Ordered" compact="0" outline="0" multipleItemSelectionAllowed="1" showAll="0">
      <items>
        <item x="0"/>
        <item x="1"/>
        <item x="2"/>
        <item x="3"/>
        <item x="4"/>
        <item x="5"/>
        <item x="6"/>
        <item x="7"/>
        <item x="8"/>
        <item x="9"/>
        <item x="10"/>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s>
  <rowFields>
    <field x="3"/>
  </rowFields>
  <colFields>
    <field x="5"/>
  </colFields>
  <dataFields>
    <dataField name="STDEV of Total Cost" fld="7" subtotal="stdDev" baseField="0"/>
  </dataFields>
</pivotTableDefinition>
</file>

<file path=xl/pivotTables/pivotTable3.xml><?xml version="1.0" encoding="utf-8"?>
<pivotTableDefinition xmlns="http://schemas.openxmlformats.org/spreadsheetml/2006/main" name="Exercise - Week 10 Students 3" cacheId="0" dataCaption="" compact="0" compactData="0">
  <location ref="AK16:AN22" firstHeaderRow="0" firstDataRow="1" firstDataCol="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Day" compact="0" numFmtId="165" outline="0" multipleItemSelectionAllowed="1" showAll="0">
      <items>
        <item x="0"/>
        <item x="1"/>
        <item x="2"/>
        <item x="3"/>
        <item x="4"/>
        <item x="5"/>
        <item x="6"/>
        <item t="default"/>
      </items>
    </pivotField>
    <pivotField name="Time" compact="0" outline="0" multipleItemSelectionAllowed="1" showAll="0">
      <items>
        <item x="0"/>
        <item x="1"/>
        <item x="2"/>
        <item t="default"/>
      </items>
    </pivotField>
    <pivotField name="Region" axis="axisRow" compact="0" outline="0" multipleItemSelectionAllowed="1" showAll="0" sortType="ascending">
      <items>
        <item x="3"/>
        <item x="1"/>
        <item x="2"/>
        <item x="0"/>
        <item t="default"/>
      </items>
    </pivotField>
    <pivotField name="Paid With" compact="0" outline="0" multipleItemSelectionAllowed="1" showAll="0">
      <items>
        <item x="0"/>
        <item x="1"/>
        <item x="2"/>
        <item t="default"/>
      </items>
    </pivotField>
    <pivotField name="Gender" axis="axisCol" compact="0" outline="0" multipleItemSelectionAllowed="1" showAll="0" sortType="ascending">
      <items>
        <item x="0"/>
        <item x="1"/>
        <item t="default"/>
      </items>
    </pivotField>
    <pivotField name="Items Ordered" compact="0" outline="0" multipleItemSelectionAllowed="1" showAll="0">
      <items>
        <item x="0"/>
        <item x="1"/>
        <item x="2"/>
        <item x="3"/>
        <item x="4"/>
        <item x="5"/>
        <item x="6"/>
        <item x="7"/>
        <item x="8"/>
        <item x="9"/>
        <item x="10"/>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s>
  <rowFields>
    <field x="3"/>
  </rowFields>
  <colFields>
    <field x="5"/>
  </colFields>
  <dataFields>
    <dataField name="COUNT of Total Cost" fld="7" subtotal="countNums" baseField="0"/>
  </dataFields>
</pivotTableDefinition>
</file>

<file path=xl/pivotTables/pivotTable4.xml><?xml version="1.0" encoding="utf-8"?>
<pivotTableDefinition xmlns="http://schemas.openxmlformats.org/spreadsheetml/2006/main" name="Exercise - Week 10 Students 4" cacheId="0" dataCaption="" compact="0" compactData="0">
  <location ref="T100:X105"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Day" compact="0" numFmtId="165" outline="0" multipleItemSelectionAllowed="1" showAll="0">
      <items>
        <item x="0"/>
        <item x="1"/>
        <item x="2"/>
        <item x="3"/>
        <item x="4"/>
        <item x="5"/>
        <item x="6"/>
        <item t="default"/>
      </items>
    </pivotField>
    <pivotField name="Time" axis="axisCol" compact="0" outline="0" multipleItemSelectionAllowed="1" showAll="0" sortType="ascending">
      <items>
        <item x="1"/>
        <item x="2"/>
        <item x="0"/>
        <item t="default"/>
      </items>
    </pivotField>
    <pivotField name="Region" axis="axisPage" compact="0" outline="0" multipleItemSelectionAllowed="1" showAll="0">
      <items>
        <item h="1" x="0"/>
        <item x="1"/>
        <item h="1" x="2"/>
        <item h="1" x="3"/>
        <item t="default"/>
      </items>
    </pivotField>
    <pivotField name="Paid With" axis="axisRow" compact="0" outline="0" multipleItemSelectionAllowed="1" showAll="0" sortType="ascending">
      <items>
        <item x="2"/>
        <item x="1"/>
        <item x="0"/>
        <item t="default"/>
      </items>
    </pivotField>
    <pivotField name="Gender" compact="0" outline="0" multipleItemSelectionAllowed="1" showAll="0">
      <items>
        <item x="0"/>
        <item x="1"/>
        <item t="default"/>
      </items>
    </pivotField>
    <pivotField name="Items Ordered" compact="0" outline="0" multipleItemSelectionAllowed="1" showAll="0">
      <items>
        <item x="0"/>
        <item x="1"/>
        <item x="2"/>
        <item x="3"/>
        <item x="4"/>
        <item x="5"/>
        <item x="6"/>
        <item x="7"/>
        <item x="8"/>
        <item x="9"/>
        <item x="10"/>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s>
  <rowFields>
    <field x="4"/>
  </rowFields>
  <colFields>
    <field x="2"/>
  </colFields>
  <pageFields>
    <pageField fld="3"/>
  </pageFields>
  <dataFields>
    <dataField name="COUNT of Total Cost" fld="7" subtotal="countNums" baseField="0"/>
  </dataFields>
</pivotTableDefinition>
</file>

<file path=xl/pivotTables/pivotTable5.xml><?xml version="1.0" encoding="utf-8"?>
<pivotTableDefinition xmlns="http://schemas.openxmlformats.org/spreadsheetml/2006/main" name="Pivot Table 1" cacheId="0" dataCaption="" compact="0" compactData="0">
  <location ref="A3:E8" firstHeaderRow="0" firstDataRow="1" firstDataCol="1" rowPageCount="1" colPageCount="1"/>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t="default"/>
      </items>
    </pivotField>
    <pivotField name="Day" compact="0" numFmtId="165" outline="0" multipleItemSelectionAllowed="1" showAll="0">
      <items>
        <item x="0"/>
        <item x="1"/>
        <item x="2"/>
        <item x="3"/>
        <item x="4"/>
        <item x="5"/>
        <item x="6"/>
        <item t="default"/>
      </items>
    </pivotField>
    <pivotField name="Time" axis="axisCol" compact="0" outline="0" multipleItemSelectionAllowed="1" showAll="0" sortType="ascending">
      <items>
        <item x="1"/>
        <item x="2"/>
        <item x="0"/>
        <item t="default"/>
      </items>
    </pivotField>
    <pivotField name="Region" axis="axisPage" compact="0" outline="0" multipleItemSelectionAllowed="1" showAll="0">
      <items>
        <item h="1" x="0"/>
        <item x="1"/>
        <item h="1" x="2"/>
        <item h="1" x="3"/>
        <item t="default"/>
      </items>
    </pivotField>
    <pivotField name="Paid With" axis="axisRow" compact="0" outline="0" multipleItemSelectionAllowed="1" showAll="0" sortType="ascending">
      <items>
        <item x="2"/>
        <item x="1"/>
        <item x="0"/>
        <item t="default"/>
      </items>
    </pivotField>
    <pivotField name="Gender" compact="0" outline="0" multipleItemSelectionAllowed="1" showAll="0">
      <items>
        <item x="0"/>
        <item x="1"/>
        <item t="default"/>
      </items>
    </pivotField>
    <pivotField name="Items Ordered" compact="0" outline="0" multipleItemSelectionAllowed="1" showAll="0">
      <items>
        <item x="0"/>
        <item x="1"/>
        <item x="2"/>
        <item x="3"/>
        <item x="4"/>
        <item x="5"/>
        <item x="6"/>
        <item x="7"/>
        <item x="8"/>
        <item x="9"/>
        <item x="10"/>
        <item t="default"/>
      </items>
    </pivotField>
    <pivotField name="Total Cost" dataField="1"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t="default"/>
      </items>
    </pivotField>
  </pivotFields>
  <rowFields>
    <field x="4"/>
  </rowFields>
  <colFields>
    <field x="2"/>
  </colFields>
  <pageFields>
    <pageField fld="3"/>
  </pageFields>
  <dataFields>
    <dataField name="COUNT of Total Cost" fld="7" subtotal="countNums"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pivotTable" Target="../pivotTables/pivotTable1.xml"/><Relationship Id="rId3" Type="http://schemas.openxmlformats.org/officeDocument/2006/relationships/pivotTable" Target="../pivotTables/pivotTable2.xml"/><Relationship Id="rId4" Type="http://schemas.openxmlformats.org/officeDocument/2006/relationships/pivotTable" Target="../pivotTables/pivotTable3.xml"/><Relationship Id="rId5" Type="http://schemas.openxmlformats.org/officeDocument/2006/relationships/pivotTable" Target="../pivotTables/pivotTable4.xm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10.86"/>
    <col customWidth="1" min="3" max="4" width="9.43"/>
    <col customWidth="1" min="5" max="5" width="10.43"/>
    <col customWidth="1" min="6" max="6" width="10.14"/>
    <col customWidth="1" min="7" max="7" width="13.14"/>
    <col customWidth="1" min="8" max="8" width="12.43"/>
    <col customWidth="1" min="9" max="11" width="8.86"/>
    <col customWidth="1" min="12" max="12" width="7.0"/>
    <col customWidth="1" min="13" max="13" width="27.86"/>
    <col customWidth="1" min="14" max="14" width="17.0"/>
    <col customWidth="1" min="15" max="15" width="18.43"/>
    <col customWidth="1" min="16" max="16" width="10.43"/>
    <col customWidth="1" min="17" max="17" width="16.57"/>
    <col customWidth="1" min="18" max="18" width="11.57"/>
    <col customWidth="1" min="19" max="19" width="8.86"/>
    <col customWidth="1" min="20" max="20" width="30.0"/>
    <col customWidth="1" min="21" max="34" width="8.86"/>
    <col customWidth="1" min="35" max="35" width="12.43"/>
    <col customWidth="1" min="36" max="40" width="8.86"/>
  </cols>
  <sheetData>
    <row r="1">
      <c r="A1" s="1" t="s">
        <v>0</v>
      </c>
      <c r="B1" s="1" t="s">
        <v>1</v>
      </c>
      <c r="C1" s="1" t="s">
        <v>2</v>
      </c>
      <c r="D1" s="1" t="s">
        <v>3</v>
      </c>
      <c r="E1" s="1" t="s">
        <v>4</v>
      </c>
      <c r="F1" s="1" t="s">
        <v>5</v>
      </c>
      <c r="G1" s="2" t="s">
        <v>6</v>
      </c>
      <c r="H1" s="3" t="s">
        <v>7</v>
      </c>
      <c r="I1" s="4"/>
      <c r="J1" s="4"/>
      <c r="K1" s="4"/>
      <c r="L1" s="4"/>
      <c r="M1" s="5"/>
      <c r="N1" s="4"/>
      <c r="O1" s="4"/>
      <c r="P1" s="4"/>
      <c r="Q1" s="4"/>
      <c r="R1" s="4"/>
      <c r="S1" s="4"/>
      <c r="T1" s="4"/>
      <c r="U1" s="4"/>
      <c r="V1" s="4"/>
      <c r="W1" s="4"/>
      <c r="X1" s="4"/>
      <c r="Y1" s="4"/>
      <c r="Z1" s="4"/>
      <c r="AA1" s="4"/>
      <c r="AB1" s="4"/>
      <c r="AC1" s="4"/>
      <c r="AD1" s="4"/>
      <c r="AE1" s="4"/>
      <c r="AF1" s="4"/>
      <c r="AG1" s="4"/>
      <c r="AH1" s="4"/>
      <c r="AI1" s="4"/>
      <c r="AJ1" s="4"/>
      <c r="AK1" s="4"/>
      <c r="AL1" s="4"/>
      <c r="AM1" s="4"/>
      <c r="AN1" s="4"/>
    </row>
    <row r="2">
      <c r="A2" s="6">
        <v>41343.0</v>
      </c>
      <c r="B2" s="7">
        <v>1.0</v>
      </c>
      <c r="C2" s="1" t="s">
        <v>8</v>
      </c>
      <c r="D2" s="1" t="s">
        <v>9</v>
      </c>
      <c r="E2" s="8" t="s">
        <v>10</v>
      </c>
      <c r="F2" s="1" t="s">
        <v>11</v>
      </c>
      <c r="G2" s="4">
        <v>4.0</v>
      </c>
      <c r="H2" s="9">
        <v>136.97</v>
      </c>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row>
    <row r="3">
      <c r="A3" s="6">
        <v>41343.0</v>
      </c>
      <c r="B3" s="7">
        <v>1.0</v>
      </c>
      <c r="C3" s="1" t="s">
        <v>8</v>
      </c>
      <c r="D3" s="1" t="s">
        <v>9</v>
      </c>
      <c r="E3" s="1" t="s">
        <v>12</v>
      </c>
      <c r="F3" s="1" t="s">
        <v>11</v>
      </c>
      <c r="G3" s="4">
        <v>1.0</v>
      </c>
      <c r="H3" s="9">
        <v>25.55</v>
      </c>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row>
    <row r="4">
      <c r="A4" s="6">
        <v>41343.0</v>
      </c>
      <c r="B4" s="7">
        <v>1.0</v>
      </c>
      <c r="C4" s="1" t="s">
        <v>14</v>
      </c>
      <c r="D4" s="1" t="s">
        <v>9</v>
      </c>
      <c r="E4" s="8" t="s">
        <v>10</v>
      </c>
      <c r="F4" s="1" t="s">
        <v>11</v>
      </c>
      <c r="G4" s="4">
        <v>5.0</v>
      </c>
      <c r="H4" s="9">
        <v>113.95</v>
      </c>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row>
    <row r="5">
      <c r="A5" s="6">
        <v>41343.0</v>
      </c>
      <c r="B5" s="7">
        <v>1.0</v>
      </c>
      <c r="C5" s="1" t="s">
        <v>14</v>
      </c>
      <c r="D5" s="1" t="s">
        <v>18</v>
      </c>
      <c r="E5" s="1" t="s">
        <v>10</v>
      </c>
      <c r="F5" s="1" t="s">
        <v>11</v>
      </c>
      <c r="G5" s="4">
        <v>1.0</v>
      </c>
      <c r="H5" s="9">
        <v>6.82</v>
      </c>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row>
    <row r="6">
      <c r="A6" s="6">
        <v>41343.0</v>
      </c>
      <c r="B6" s="7">
        <v>1.0</v>
      </c>
      <c r="C6" s="1" t="s">
        <v>14</v>
      </c>
      <c r="D6" s="1" t="s">
        <v>9</v>
      </c>
      <c r="E6" s="8" t="s">
        <v>12</v>
      </c>
      <c r="F6" s="1" t="s">
        <v>19</v>
      </c>
      <c r="G6" s="4">
        <v>4.0</v>
      </c>
      <c r="H6" s="9">
        <v>147.32</v>
      </c>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row>
    <row r="7">
      <c r="A7" s="6">
        <v>41343.0</v>
      </c>
      <c r="B7" s="7">
        <v>1.0</v>
      </c>
      <c r="C7" s="1" t="s">
        <v>14</v>
      </c>
      <c r="D7" s="1" t="s">
        <v>18</v>
      </c>
      <c r="E7" s="1" t="s">
        <v>10</v>
      </c>
      <c r="F7" s="1" t="s">
        <v>11</v>
      </c>
      <c r="G7" s="4">
        <v>5.0</v>
      </c>
      <c r="H7" s="9">
        <v>142.15</v>
      </c>
      <c r="I7" s="4"/>
      <c r="J7" s="4"/>
      <c r="K7" s="4"/>
      <c r="L7" s="4"/>
      <c r="M7" s="4"/>
      <c r="N7" s="4"/>
      <c r="O7" s="4"/>
      <c r="P7" s="4"/>
      <c r="Q7" s="4"/>
      <c r="R7" s="4"/>
      <c r="S7" s="4"/>
      <c r="T7" s="4"/>
      <c r="U7" s="4"/>
      <c r="V7" s="4"/>
      <c r="W7" s="4"/>
      <c r="X7" s="4"/>
      <c r="Y7" s="4"/>
      <c r="Z7" s="4"/>
      <c r="AA7" s="4"/>
      <c r="AB7" s="4"/>
      <c r="AC7" s="4"/>
      <c r="AD7" s="4"/>
      <c r="AE7" s="4"/>
      <c r="AF7" s="4"/>
      <c r="AG7" s="11" t="s">
        <v>22</v>
      </c>
      <c r="AH7" s="4"/>
      <c r="AI7" s="4"/>
      <c r="AJ7" s="4"/>
      <c r="AK7" s="4"/>
      <c r="AL7" s="4"/>
      <c r="AM7" s="4"/>
      <c r="AN7" s="4"/>
    </row>
    <row r="8">
      <c r="A8" s="6">
        <v>41344.0</v>
      </c>
      <c r="B8" s="7">
        <v>2.0</v>
      </c>
      <c r="C8" s="1" t="s">
        <v>15</v>
      </c>
      <c r="D8" s="1" t="s">
        <v>9</v>
      </c>
      <c r="E8" s="1" t="s">
        <v>12</v>
      </c>
      <c r="F8" s="1" t="s">
        <v>19</v>
      </c>
      <c r="G8" s="4">
        <v>1.0</v>
      </c>
      <c r="H8" s="9">
        <v>18.65</v>
      </c>
      <c r="I8" s="4"/>
      <c r="J8" s="4"/>
      <c r="K8" s="4"/>
      <c r="L8" s="4"/>
      <c r="M8" s="4"/>
      <c r="N8" s="4"/>
      <c r="O8" s="4"/>
      <c r="P8" s="4"/>
      <c r="Q8" s="4"/>
      <c r="R8" s="4"/>
      <c r="S8" s="4"/>
      <c r="T8" s="4"/>
      <c r="U8" s="4"/>
      <c r="V8" s="4"/>
      <c r="W8" s="4"/>
      <c r="X8" s="4"/>
      <c r="Y8" s="4"/>
      <c r="Z8" s="4"/>
      <c r="AA8" s="4"/>
      <c r="AB8" s="4"/>
      <c r="AC8" s="4"/>
      <c r="AD8" s="4"/>
      <c r="AE8" s="4"/>
      <c r="AF8" s="4"/>
      <c r="AG8" s="11" t="s">
        <v>23</v>
      </c>
      <c r="AH8" s="4" t="s">
        <v>24</v>
      </c>
      <c r="AI8" s="4" t="s">
        <v>25</v>
      </c>
      <c r="AJ8" s="4" t="s">
        <v>26</v>
      </c>
      <c r="AK8" s="4" t="s">
        <v>22</v>
      </c>
      <c r="AL8" s="4" t="s">
        <v>27</v>
      </c>
      <c r="AM8" s="4" t="s">
        <v>28</v>
      </c>
      <c r="AN8" s="4"/>
    </row>
    <row r="9">
      <c r="A9" s="6">
        <v>41344.0</v>
      </c>
      <c r="B9" s="7">
        <v>2.0</v>
      </c>
      <c r="C9" s="1" t="s">
        <v>15</v>
      </c>
      <c r="D9" s="1" t="s">
        <v>20</v>
      </c>
      <c r="E9" s="1" t="s">
        <v>10</v>
      </c>
      <c r="F9" s="1" t="s">
        <v>19</v>
      </c>
      <c r="G9" s="4">
        <v>4.0</v>
      </c>
      <c r="H9" s="9">
        <v>178.34</v>
      </c>
      <c r="I9" s="4"/>
      <c r="J9" s="4"/>
      <c r="K9" s="4"/>
      <c r="L9" s="4"/>
      <c r="M9" s="4"/>
      <c r="N9" s="4"/>
      <c r="O9" s="4"/>
      <c r="P9" s="4"/>
      <c r="Q9" s="4"/>
      <c r="R9" s="4"/>
      <c r="S9" s="4"/>
      <c r="T9" s="4"/>
      <c r="U9" s="4"/>
      <c r="V9" s="4"/>
      <c r="W9" s="4"/>
      <c r="X9" s="4"/>
      <c r="Y9" s="4"/>
      <c r="Z9" s="4"/>
      <c r="AA9" s="4"/>
      <c r="AB9" s="4"/>
      <c r="AC9" s="4"/>
      <c r="AD9" s="4"/>
      <c r="AE9" s="4"/>
      <c r="AF9" s="4"/>
      <c r="AG9" s="11" t="s">
        <v>29</v>
      </c>
      <c r="AH9" s="4" t="s">
        <v>30</v>
      </c>
      <c r="AI9" s="4" t="s">
        <v>31</v>
      </c>
      <c r="AJ9" s="4" t="s">
        <v>32</v>
      </c>
      <c r="AK9" s="4" t="s">
        <v>33</v>
      </c>
      <c r="AL9" s="4" t="s">
        <v>34</v>
      </c>
      <c r="AM9" s="4" t="s">
        <v>35</v>
      </c>
      <c r="AN9" s="4"/>
    </row>
    <row r="10">
      <c r="A10" s="6">
        <v>41344.0</v>
      </c>
      <c r="B10" s="7">
        <v>2.0</v>
      </c>
      <c r="C10" s="1" t="s">
        <v>15</v>
      </c>
      <c r="D10" s="1" t="s">
        <v>9</v>
      </c>
      <c r="E10" s="1" t="s">
        <v>17</v>
      </c>
      <c r="F10" s="1" t="s">
        <v>19</v>
      </c>
      <c r="G10" s="4">
        <v>2.0</v>
      </c>
      <c r="H10" s="9">
        <v>25.83</v>
      </c>
      <c r="I10" s="4"/>
      <c r="J10" s="4"/>
      <c r="K10" s="4"/>
      <c r="L10" s="4"/>
      <c r="M10" s="4"/>
      <c r="N10" s="4"/>
      <c r="O10" s="4"/>
      <c r="P10" s="4"/>
      <c r="Q10" s="4"/>
      <c r="R10" s="4"/>
      <c r="S10" s="4"/>
      <c r="T10" s="4"/>
      <c r="U10" s="4"/>
      <c r="V10" s="4"/>
      <c r="W10" s="4"/>
      <c r="X10" s="4"/>
      <c r="Y10" s="4"/>
      <c r="Z10" s="4"/>
      <c r="AA10" s="4"/>
      <c r="AB10" s="4"/>
      <c r="AC10" s="4"/>
      <c r="AD10" s="4"/>
      <c r="AE10" s="4"/>
      <c r="AF10" s="4"/>
      <c r="AG10" s="11" t="s">
        <v>36</v>
      </c>
      <c r="AH10" s="4" t="s">
        <v>37</v>
      </c>
      <c r="AI10" s="4" t="s">
        <v>38</v>
      </c>
      <c r="AJ10" s="4"/>
      <c r="AK10" s="4"/>
      <c r="AL10" s="4"/>
      <c r="AM10" s="4" t="s">
        <v>39</v>
      </c>
      <c r="AN10" s="4"/>
    </row>
    <row r="11">
      <c r="A11" s="6">
        <v>41345.0</v>
      </c>
      <c r="B11" s="7">
        <v>3.0</v>
      </c>
      <c r="C11" s="1" t="s">
        <v>8</v>
      </c>
      <c r="D11" s="1" t="s">
        <v>21</v>
      </c>
      <c r="E11" s="1" t="s">
        <v>12</v>
      </c>
      <c r="F11" s="1" t="s">
        <v>11</v>
      </c>
      <c r="G11" s="4">
        <v>1.0</v>
      </c>
      <c r="H11" s="9">
        <v>18.13</v>
      </c>
      <c r="I11" s="4"/>
      <c r="J11" s="4"/>
      <c r="K11" s="4"/>
      <c r="L11" s="4"/>
      <c r="M11" s="4"/>
      <c r="N11" s="4"/>
      <c r="O11" s="4"/>
      <c r="P11" s="4"/>
      <c r="Q11" s="4"/>
      <c r="R11" s="4"/>
      <c r="S11" s="4"/>
      <c r="T11" s="4"/>
      <c r="U11" s="4"/>
      <c r="V11" s="4"/>
      <c r="W11" s="4"/>
      <c r="X11" s="4"/>
      <c r="Y11" s="4"/>
      <c r="Z11" s="4"/>
      <c r="AA11" s="4"/>
      <c r="AB11" s="4"/>
      <c r="AC11" s="4"/>
      <c r="AD11" s="4"/>
      <c r="AE11" s="4"/>
      <c r="AF11" s="4"/>
      <c r="AG11" s="11" t="s">
        <v>33</v>
      </c>
      <c r="AH11" s="4"/>
      <c r="AI11" s="4" t="s">
        <v>40</v>
      </c>
      <c r="AJ11" s="4"/>
      <c r="AK11" s="4"/>
      <c r="AL11" s="4"/>
      <c r="AM11" s="10" t="s">
        <v>41</v>
      </c>
    </row>
    <row r="12">
      <c r="A12" s="6">
        <v>41345.0</v>
      </c>
      <c r="B12" s="7">
        <v>3.0</v>
      </c>
      <c r="C12" s="1" t="s">
        <v>8</v>
      </c>
      <c r="D12" s="1" t="s">
        <v>18</v>
      </c>
      <c r="E12" s="8" t="s">
        <v>12</v>
      </c>
      <c r="F12" s="1" t="s">
        <v>11</v>
      </c>
      <c r="G12" s="4">
        <v>2.0</v>
      </c>
      <c r="H12" s="9">
        <v>54.52</v>
      </c>
      <c r="I12" s="4"/>
      <c r="J12" s="4"/>
      <c r="K12" s="4"/>
      <c r="L12" s="4"/>
      <c r="M12" s="4"/>
      <c r="N12" s="4"/>
      <c r="O12" s="4"/>
      <c r="P12" s="4"/>
      <c r="Q12" s="4"/>
      <c r="R12" s="4"/>
      <c r="S12" s="4"/>
      <c r="T12" s="4"/>
      <c r="U12" s="4"/>
      <c r="V12" s="4"/>
      <c r="W12" s="4"/>
      <c r="X12" s="4"/>
      <c r="Y12" s="4"/>
      <c r="Z12" s="4"/>
      <c r="AA12" s="4"/>
      <c r="AB12" s="4"/>
      <c r="AC12" s="4"/>
      <c r="AD12" s="4"/>
      <c r="AE12" s="4"/>
      <c r="AF12" s="4"/>
      <c r="AG12" s="11" t="s">
        <v>42</v>
      </c>
      <c r="AH12" s="4"/>
      <c r="AI12" s="4"/>
      <c r="AJ12" s="4"/>
      <c r="AK12" s="4"/>
      <c r="AL12" s="4"/>
      <c r="AM12" s="4"/>
      <c r="AN12" s="4"/>
    </row>
    <row r="13">
      <c r="A13" s="6">
        <v>41345.0</v>
      </c>
      <c r="B13" s="7">
        <v>3.0</v>
      </c>
      <c r="C13" s="1" t="s">
        <v>14</v>
      </c>
      <c r="D13" s="1" t="s">
        <v>20</v>
      </c>
      <c r="E13" s="1" t="s">
        <v>10</v>
      </c>
      <c r="F13" s="1" t="s">
        <v>19</v>
      </c>
      <c r="G13" s="4">
        <v>2.0</v>
      </c>
      <c r="H13" s="9">
        <v>61.93</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row>
    <row r="14">
      <c r="A14" s="6">
        <v>41346.0</v>
      </c>
      <c r="B14" s="7">
        <v>4.0</v>
      </c>
      <c r="C14" s="1" t="s">
        <v>8</v>
      </c>
      <c r="D14" s="1" t="s">
        <v>18</v>
      </c>
      <c r="E14" s="8" t="s">
        <v>10</v>
      </c>
      <c r="F14" s="1" t="s">
        <v>19</v>
      </c>
      <c r="G14" s="4">
        <v>3.0</v>
      </c>
      <c r="H14" s="9">
        <v>147.68</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row>
    <row r="15">
      <c r="A15" s="6">
        <v>41346.0</v>
      </c>
      <c r="B15" s="7">
        <v>4.0</v>
      </c>
      <c r="C15" s="1" t="s">
        <v>14</v>
      </c>
      <c r="D15" s="1" t="s">
        <v>18</v>
      </c>
      <c r="E15" s="1" t="s">
        <v>12</v>
      </c>
      <c r="F15" s="1" t="s">
        <v>19</v>
      </c>
      <c r="G15" s="4">
        <v>1.0</v>
      </c>
      <c r="H15" s="9">
        <v>27.24</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row>
    <row r="16">
      <c r="A16" s="6">
        <v>41347.0</v>
      </c>
      <c r="B16" s="7">
        <v>5.0</v>
      </c>
      <c r="C16" s="1" t="s">
        <v>8</v>
      </c>
      <c r="D16" s="1" t="s">
        <v>9</v>
      </c>
      <c r="E16" s="1" t="s">
        <v>12</v>
      </c>
      <c r="F16" s="1" t="s">
        <v>11</v>
      </c>
      <c r="G16" s="4">
        <v>3.0</v>
      </c>
      <c r="H16" s="9">
        <v>46.18</v>
      </c>
      <c r="I16" s="4"/>
      <c r="J16" s="4"/>
      <c r="K16" s="4"/>
      <c r="L16" s="4"/>
      <c r="M16" s="4"/>
      <c r="N16" s="4"/>
      <c r="O16" s="4"/>
      <c r="P16" s="4"/>
      <c r="Q16" s="4"/>
      <c r="R16" s="4"/>
      <c r="S16" s="4"/>
      <c r="T16" s="4"/>
      <c r="U16" s="4"/>
      <c r="V16" s="4"/>
      <c r="W16" s="4"/>
      <c r="X16" s="4"/>
      <c r="Y16" s="4"/>
      <c r="Z16" s="4"/>
      <c r="AE16" s="4"/>
      <c r="AJ16" s="4"/>
    </row>
    <row r="17">
      <c r="A17" s="6">
        <v>41347.0</v>
      </c>
      <c r="B17" s="7">
        <v>5.0</v>
      </c>
      <c r="C17" s="1" t="s">
        <v>14</v>
      </c>
      <c r="D17" s="1" t="s">
        <v>9</v>
      </c>
      <c r="E17" s="1" t="s">
        <v>10</v>
      </c>
      <c r="F17" s="1" t="s">
        <v>19</v>
      </c>
      <c r="G17" s="4">
        <v>5.0</v>
      </c>
      <c r="H17" s="9">
        <v>107.44</v>
      </c>
      <c r="I17" s="4"/>
      <c r="J17" s="4"/>
      <c r="K17" s="4"/>
      <c r="L17" s="4"/>
      <c r="M17" s="4"/>
      <c r="N17" s="4"/>
      <c r="O17" s="4"/>
      <c r="P17" s="4"/>
      <c r="Q17" s="4"/>
      <c r="R17" s="4"/>
      <c r="S17" s="4"/>
      <c r="T17" s="4"/>
      <c r="U17" s="4"/>
      <c r="V17" s="4"/>
      <c r="W17" s="4"/>
      <c r="X17" s="4"/>
      <c r="Y17" s="4"/>
      <c r="Z17" s="4"/>
      <c r="AE17" s="4"/>
      <c r="AJ17" s="4"/>
    </row>
    <row r="18">
      <c r="A18" s="6">
        <v>41347.0</v>
      </c>
      <c r="B18" s="7">
        <v>5.0</v>
      </c>
      <c r="C18" s="1" t="s">
        <v>14</v>
      </c>
      <c r="D18" s="1" t="s">
        <v>20</v>
      </c>
      <c r="E18" s="8" t="s">
        <v>17</v>
      </c>
      <c r="F18" s="1" t="s">
        <v>11</v>
      </c>
      <c r="G18" s="4">
        <v>6.0</v>
      </c>
      <c r="H18" s="9">
        <v>96.53</v>
      </c>
      <c r="I18" s="4"/>
      <c r="J18" s="4"/>
      <c r="K18" s="4"/>
      <c r="L18" s="4"/>
      <c r="M18" s="4"/>
      <c r="N18" s="4"/>
      <c r="O18" s="4"/>
      <c r="P18" s="4"/>
      <c r="Q18" s="4"/>
      <c r="R18" s="4"/>
      <c r="S18" s="4"/>
      <c r="T18" s="4"/>
      <c r="U18" s="4"/>
      <c r="V18" s="4"/>
      <c r="W18" s="4"/>
      <c r="X18" s="4"/>
      <c r="Y18" s="4"/>
      <c r="Z18" s="4"/>
      <c r="AE18" s="4"/>
      <c r="AJ18" s="4"/>
    </row>
    <row r="19">
      <c r="A19" s="6">
        <v>41347.0</v>
      </c>
      <c r="B19" s="7">
        <v>5.0</v>
      </c>
      <c r="C19" s="1" t="s">
        <v>14</v>
      </c>
      <c r="D19" s="1" t="s">
        <v>9</v>
      </c>
      <c r="E19" s="8" t="s">
        <v>10</v>
      </c>
      <c r="F19" s="1" t="s">
        <v>11</v>
      </c>
      <c r="G19" s="4">
        <v>4.0</v>
      </c>
      <c r="H19" s="9">
        <v>77.44</v>
      </c>
      <c r="I19" s="4"/>
      <c r="J19" s="4"/>
      <c r="K19" s="4"/>
      <c r="L19" s="4"/>
      <c r="M19" s="2" t="s">
        <v>45</v>
      </c>
      <c r="N19" s="13">
        <v>170.0152830188679</v>
      </c>
      <c r="O19" s="4"/>
      <c r="P19" s="4"/>
      <c r="Q19" s="2" t="s">
        <v>46</v>
      </c>
      <c r="R19" s="14">
        <v>109.82900667022516</v>
      </c>
      <c r="S19" s="4"/>
      <c r="T19" s="2" t="s">
        <v>47</v>
      </c>
      <c r="U19" s="14">
        <v>53.0</v>
      </c>
      <c r="V19" s="4"/>
      <c r="W19" s="4"/>
      <c r="X19" s="4"/>
      <c r="Y19" s="4"/>
      <c r="Z19" s="4"/>
      <c r="AE19" s="4"/>
      <c r="AJ19" s="4"/>
    </row>
    <row r="20">
      <c r="A20" s="6">
        <v>41348.0</v>
      </c>
      <c r="B20" s="7">
        <v>6.0</v>
      </c>
      <c r="C20" s="1" t="s">
        <v>8</v>
      </c>
      <c r="D20" s="1" t="s">
        <v>20</v>
      </c>
      <c r="E20" s="1" t="s">
        <v>12</v>
      </c>
      <c r="F20" s="1" t="s">
        <v>19</v>
      </c>
      <c r="G20" s="4">
        <v>1.0</v>
      </c>
      <c r="H20" s="9">
        <v>15.19</v>
      </c>
      <c r="I20" s="4"/>
      <c r="J20" s="4"/>
      <c r="K20" s="4"/>
      <c r="L20" s="4"/>
      <c r="M20" s="2" t="s">
        <v>48</v>
      </c>
      <c r="N20" s="13">
        <v>164.11338709677423</v>
      </c>
      <c r="O20" s="4"/>
      <c r="P20" s="4"/>
      <c r="Q20" s="2" t="s">
        <v>49</v>
      </c>
      <c r="R20" s="14">
        <v>105.63591173930976</v>
      </c>
      <c r="S20" s="4"/>
      <c r="T20" s="2" t="s">
        <v>50</v>
      </c>
      <c r="U20" s="14">
        <v>62.0</v>
      </c>
      <c r="V20" s="4"/>
      <c r="W20" s="4"/>
      <c r="X20" s="4"/>
      <c r="Y20" s="4"/>
      <c r="Z20" s="4"/>
      <c r="AE20" s="4"/>
      <c r="AJ20" s="4"/>
    </row>
    <row r="21" ht="15.75" customHeight="1">
      <c r="A21" s="6">
        <v>41348.0</v>
      </c>
      <c r="B21" s="7">
        <v>6.0</v>
      </c>
      <c r="C21" s="1" t="s">
        <v>14</v>
      </c>
      <c r="D21" s="1" t="s">
        <v>20</v>
      </c>
      <c r="E21" s="1" t="s">
        <v>17</v>
      </c>
      <c r="F21" s="1" t="s">
        <v>19</v>
      </c>
      <c r="G21" s="4">
        <v>1.0</v>
      </c>
      <c r="H21" s="9">
        <v>45.52</v>
      </c>
      <c r="I21" s="4"/>
      <c r="J21" s="4"/>
      <c r="K21" s="4"/>
      <c r="L21" s="4"/>
      <c r="M21" s="2"/>
      <c r="N21" s="4"/>
      <c r="O21" s="4"/>
      <c r="P21" s="4"/>
      <c r="Q21" s="2"/>
      <c r="R21" s="4"/>
      <c r="S21" s="2"/>
      <c r="T21" s="4"/>
      <c r="U21" s="4"/>
      <c r="V21" s="4"/>
      <c r="W21" s="4"/>
      <c r="X21" s="4"/>
      <c r="Y21" s="4"/>
      <c r="Z21" s="4"/>
      <c r="AE21" s="4"/>
      <c r="AJ21" s="4"/>
    </row>
    <row r="22" ht="15.75" customHeight="1">
      <c r="A22" s="6">
        <v>41349.0</v>
      </c>
      <c r="B22" s="7">
        <v>7.0</v>
      </c>
      <c r="C22" s="1" t="s">
        <v>8</v>
      </c>
      <c r="D22" s="1" t="s">
        <v>9</v>
      </c>
      <c r="E22" s="1" t="s">
        <v>10</v>
      </c>
      <c r="F22" s="1" t="s">
        <v>19</v>
      </c>
      <c r="G22" s="4">
        <v>4.0</v>
      </c>
      <c r="H22" s="9">
        <v>157.05</v>
      </c>
      <c r="I22" s="4"/>
      <c r="J22" s="4"/>
      <c r="K22" s="4"/>
      <c r="L22" s="4"/>
      <c r="M22" s="4"/>
      <c r="N22" s="4"/>
      <c r="O22" s="4"/>
      <c r="P22" s="4"/>
      <c r="Q22" s="4"/>
      <c r="R22" s="4"/>
      <c r="S22" s="4"/>
      <c r="T22" s="4"/>
      <c r="U22" s="4"/>
      <c r="V22" s="4"/>
      <c r="W22" s="4"/>
      <c r="X22" s="4"/>
      <c r="Y22" s="4"/>
      <c r="Z22" s="4"/>
      <c r="AE22" s="4"/>
      <c r="AJ22" s="4"/>
    </row>
    <row r="23" ht="15.75" customHeight="1">
      <c r="A23" s="6">
        <v>41349.0</v>
      </c>
      <c r="B23" s="7">
        <v>7.0</v>
      </c>
      <c r="C23" s="1" t="s">
        <v>14</v>
      </c>
      <c r="D23" s="1" t="s">
        <v>9</v>
      </c>
      <c r="E23" s="1" t="s">
        <v>10</v>
      </c>
      <c r="F23" s="1" t="s">
        <v>19</v>
      </c>
      <c r="G23" s="4">
        <v>2.0</v>
      </c>
      <c r="H23" s="9">
        <v>51.95</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row>
    <row r="24" ht="15.75" customHeight="1">
      <c r="A24" s="6">
        <v>41349.0</v>
      </c>
      <c r="B24" s="7">
        <v>7.0</v>
      </c>
      <c r="C24" s="1" t="s">
        <v>15</v>
      </c>
      <c r="D24" s="1" t="s">
        <v>9</v>
      </c>
      <c r="E24" s="8" t="s">
        <v>12</v>
      </c>
      <c r="F24" s="1" t="s">
        <v>11</v>
      </c>
      <c r="G24" s="4">
        <v>9.0</v>
      </c>
      <c r="H24" s="9">
        <v>429.98</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row>
    <row r="25" ht="15.75" customHeight="1">
      <c r="A25" s="6">
        <v>41350.0</v>
      </c>
      <c r="B25" s="7">
        <v>1.0</v>
      </c>
      <c r="C25" s="1" t="s">
        <v>14</v>
      </c>
      <c r="D25" s="1" t="s">
        <v>20</v>
      </c>
      <c r="E25" s="1" t="s">
        <v>10</v>
      </c>
      <c r="F25" s="1" t="s">
        <v>11</v>
      </c>
      <c r="G25" s="4">
        <v>1.0</v>
      </c>
      <c r="H25" s="9">
        <v>33.37</v>
      </c>
      <c r="I25" s="4"/>
      <c r="J25" s="4"/>
      <c r="K25" s="4"/>
      <c r="L25" s="4"/>
      <c r="M25" s="4"/>
      <c r="N25" s="4"/>
      <c r="O25" s="4"/>
      <c r="P25" s="15"/>
      <c r="Q25" s="4"/>
      <c r="R25" s="4"/>
      <c r="S25" s="4"/>
      <c r="T25" s="4"/>
      <c r="U25" s="4"/>
      <c r="V25" s="4"/>
      <c r="W25" s="4"/>
      <c r="X25" s="4"/>
      <c r="Y25" s="4"/>
      <c r="Z25" s="4"/>
      <c r="AA25" s="4"/>
      <c r="AB25" s="4"/>
      <c r="AC25" s="4"/>
      <c r="AD25" s="4"/>
      <c r="AE25" s="4"/>
      <c r="AF25" s="4"/>
      <c r="AG25" s="4"/>
      <c r="AH25" s="4"/>
      <c r="AI25" s="4"/>
      <c r="AJ25" s="4"/>
      <c r="AK25" s="4"/>
      <c r="AL25" s="4"/>
      <c r="AM25" s="4"/>
      <c r="AN25" s="4"/>
    </row>
    <row r="26" ht="15.75" customHeight="1">
      <c r="A26" s="6">
        <v>41350.0</v>
      </c>
      <c r="B26" s="7">
        <v>1.0</v>
      </c>
      <c r="C26" s="1" t="s">
        <v>15</v>
      </c>
      <c r="D26" s="1" t="s">
        <v>9</v>
      </c>
      <c r="E26" s="1" t="s">
        <v>10</v>
      </c>
      <c r="F26" s="1" t="s">
        <v>19</v>
      </c>
      <c r="G26" s="4">
        <v>3.0</v>
      </c>
      <c r="H26" s="9">
        <v>71.84</v>
      </c>
      <c r="I26" s="4"/>
      <c r="J26" s="4"/>
      <c r="K26" s="4"/>
      <c r="L26" s="4"/>
      <c r="M26" s="4"/>
      <c r="N26" s="4"/>
      <c r="O26" s="4"/>
      <c r="P26" s="15"/>
      <c r="Q26" s="4"/>
      <c r="R26" s="4"/>
      <c r="S26" s="4"/>
      <c r="T26" s="4"/>
      <c r="U26" s="4"/>
      <c r="V26" s="4"/>
      <c r="W26" s="4"/>
      <c r="X26" s="4"/>
      <c r="Y26" s="4"/>
      <c r="Z26" s="4"/>
      <c r="AA26" s="4"/>
      <c r="AB26" s="4"/>
      <c r="AC26" s="4"/>
      <c r="AD26" s="4"/>
      <c r="AE26" s="4"/>
      <c r="AF26" s="4"/>
      <c r="AG26" s="4"/>
      <c r="AH26" s="4"/>
      <c r="AI26" s="4"/>
      <c r="AJ26" s="4"/>
      <c r="AK26" s="4"/>
      <c r="AL26" s="4"/>
      <c r="AM26" s="4"/>
      <c r="AN26" s="4"/>
    </row>
    <row r="27" ht="15.75" customHeight="1">
      <c r="A27" s="6">
        <v>41351.0</v>
      </c>
      <c r="B27" s="7">
        <v>2.0</v>
      </c>
      <c r="C27" s="1" t="s">
        <v>8</v>
      </c>
      <c r="D27" s="1" t="s">
        <v>18</v>
      </c>
      <c r="E27" s="8" t="s">
        <v>12</v>
      </c>
      <c r="F27" s="1" t="s">
        <v>11</v>
      </c>
      <c r="G27" s="4">
        <v>5.0</v>
      </c>
      <c r="H27" s="9">
        <v>139.51</v>
      </c>
      <c r="I27" s="4"/>
      <c r="J27" s="4"/>
      <c r="K27" s="4"/>
      <c r="L27" s="4"/>
      <c r="M27" s="4"/>
      <c r="N27" s="4"/>
      <c r="O27" s="4"/>
      <c r="P27" s="15"/>
      <c r="Q27" s="4"/>
      <c r="R27" s="4"/>
      <c r="S27" s="4"/>
      <c r="T27" s="4"/>
      <c r="U27" s="4"/>
      <c r="V27" s="4"/>
      <c r="W27" s="4"/>
      <c r="X27" s="4"/>
      <c r="Y27" s="4"/>
      <c r="Z27" s="4"/>
      <c r="AA27" s="4"/>
      <c r="AB27" s="4"/>
      <c r="AC27" s="4"/>
      <c r="AD27" s="4"/>
      <c r="AE27" s="4"/>
      <c r="AF27" s="4"/>
      <c r="AG27" s="4"/>
      <c r="AH27" s="4"/>
      <c r="AI27" s="4"/>
      <c r="AJ27" s="4"/>
      <c r="AK27" s="4"/>
      <c r="AL27" s="4"/>
      <c r="AM27" s="4"/>
      <c r="AN27" s="4"/>
    </row>
    <row r="28" ht="15.75" customHeight="1">
      <c r="A28" s="6">
        <v>41351.0</v>
      </c>
      <c r="B28" s="7">
        <v>2.0</v>
      </c>
      <c r="C28" s="1" t="s">
        <v>14</v>
      </c>
      <c r="D28" s="1" t="s">
        <v>20</v>
      </c>
      <c r="E28" s="1" t="s">
        <v>12</v>
      </c>
      <c r="F28" s="1" t="s">
        <v>19</v>
      </c>
      <c r="G28" s="4">
        <v>3.0</v>
      </c>
      <c r="H28" s="9">
        <v>78.46</v>
      </c>
      <c r="I28" s="4"/>
      <c r="J28" s="4"/>
      <c r="K28" s="4"/>
      <c r="L28" s="4"/>
      <c r="M28" s="4"/>
      <c r="N28" s="4"/>
      <c r="O28" s="4"/>
      <c r="P28" s="15"/>
      <c r="Q28" s="4"/>
      <c r="R28" s="4"/>
      <c r="S28" s="4"/>
      <c r="T28" s="4"/>
      <c r="U28" s="4"/>
      <c r="V28" s="4"/>
      <c r="W28" s="4"/>
      <c r="X28" s="4"/>
      <c r="Y28" s="4"/>
      <c r="Z28" s="4"/>
      <c r="AA28" s="4"/>
      <c r="AB28" s="4"/>
      <c r="AC28" s="4"/>
      <c r="AD28" s="4"/>
      <c r="AE28" s="4"/>
      <c r="AF28" s="4"/>
      <c r="AG28" s="4"/>
      <c r="AH28" s="4"/>
      <c r="AI28" s="4"/>
      <c r="AJ28" s="4"/>
      <c r="AK28" s="4"/>
      <c r="AL28" s="4"/>
      <c r="AM28" s="4"/>
      <c r="AN28" s="4"/>
    </row>
    <row r="29" ht="15.75" customHeight="1">
      <c r="A29" s="6">
        <v>41351.0</v>
      </c>
      <c r="B29" s="7">
        <v>2.0</v>
      </c>
      <c r="C29" s="1" t="s">
        <v>15</v>
      </c>
      <c r="D29" s="1" t="s">
        <v>21</v>
      </c>
      <c r="E29" s="1" t="s">
        <v>12</v>
      </c>
      <c r="F29" s="1" t="s">
        <v>19</v>
      </c>
      <c r="G29" s="4">
        <v>3.0</v>
      </c>
      <c r="H29" s="9">
        <v>125.13</v>
      </c>
      <c r="I29" s="4"/>
      <c r="J29" s="4"/>
      <c r="K29" s="4"/>
      <c r="L29" s="4"/>
      <c r="M29" s="4"/>
      <c r="N29" s="4"/>
      <c r="O29" s="4"/>
      <c r="P29" s="15"/>
      <c r="Q29" s="4"/>
      <c r="R29" s="4"/>
      <c r="S29" s="4"/>
      <c r="T29" s="4"/>
      <c r="U29" s="16" t="s">
        <v>51</v>
      </c>
      <c r="V29" s="16" t="s">
        <v>52</v>
      </c>
      <c r="W29" s="4"/>
      <c r="X29" s="4"/>
      <c r="Y29" s="4"/>
      <c r="Z29" s="4"/>
      <c r="AA29" s="4"/>
      <c r="AB29" s="4"/>
      <c r="AC29" s="4"/>
      <c r="AD29" s="4"/>
      <c r="AE29" s="4"/>
      <c r="AF29" s="4"/>
      <c r="AG29" s="4"/>
      <c r="AH29" s="4"/>
      <c r="AI29" s="4"/>
      <c r="AJ29" s="4"/>
      <c r="AK29" s="4"/>
      <c r="AL29" s="4"/>
      <c r="AM29" s="4"/>
      <c r="AN29" s="4"/>
    </row>
    <row r="30" ht="15.75" customHeight="1">
      <c r="A30" s="6">
        <v>41352.0</v>
      </c>
      <c r="B30" s="7">
        <v>3.0</v>
      </c>
      <c r="C30" s="1" t="s">
        <v>14</v>
      </c>
      <c r="D30" s="1" t="s">
        <v>21</v>
      </c>
      <c r="E30" s="1" t="s">
        <v>10</v>
      </c>
      <c r="F30" s="1" t="s">
        <v>19</v>
      </c>
      <c r="G30" s="4">
        <v>1.0</v>
      </c>
      <c r="H30" s="9">
        <v>14.76</v>
      </c>
      <c r="I30" s="4"/>
      <c r="J30" s="4"/>
      <c r="K30" s="4"/>
      <c r="L30" s="4"/>
      <c r="M30" s="4"/>
      <c r="N30" s="4" t="s">
        <v>53</v>
      </c>
      <c r="O30" s="17">
        <f>((U30-1)*U31+(V30-1)*V31)/(U30+V30-2)</f>
        <v>11574.69959</v>
      </c>
      <c r="P30" s="4"/>
      <c r="Q30" s="16"/>
      <c r="R30" s="4"/>
      <c r="S30" s="4"/>
      <c r="T30" s="16" t="s">
        <v>54</v>
      </c>
      <c r="U30" s="18">
        <v>53.0</v>
      </c>
      <c r="V30" s="18">
        <v>62.0</v>
      </c>
      <c r="W30" s="4"/>
      <c r="X30" s="4"/>
      <c r="Y30" s="4"/>
      <c r="Z30" s="4"/>
      <c r="AA30" s="4"/>
      <c r="AB30" s="4"/>
      <c r="AC30" s="4"/>
      <c r="AD30" s="4"/>
      <c r="AE30" s="4"/>
      <c r="AF30" s="4"/>
      <c r="AG30" s="4"/>
      <c r="AH30" s="4"/>
      <c r="AI30" s="4"/>
      <c r="AJ30" s="4"/>
      <c r="AK30" s="4"/>
      <c r="AL30" s="4"/>
      <c r="AM30" s="4"/>
      <c r="AN30" s="4"/>
    </row>
    <row r="31" ht="15.75" customHeight="1">
      <c r="A31" s="6">
        <v>41352.0</v>
      </c>
      <c r="B31" s="7">
        <v>3.0</v>
      </c>
      <c r="C31" s="1" t="s">
        <v>14</v>
      </c>
      <c r="D31" s="1" t="s">
        <v>20</v>
      </c>
      <c r="E31" s="8" t="s">
        <v>17</v>
      </c>
      <c r="F31" s="1" t="s">
        <v>11</v>
      </c>
      <c r="G31" s="4">
        <v>2.0</v>
      </c>
      <c r="H31" s="9">
        <v>83.38</v>
      </c>
      <c r="I31" s="4"/>
      <c r="J31" s="4"/>
      <c r="K31" s="4"/>
      <c r="L31" s="4"/>
      <c r="M31" s="4"/>
      <c r="N31" s="4"/>
      <c r="O31" s="4"/>
      <c r="P31" s="4"/>
      <c r="Q31" s="16"/>
      <c r="R31" s="4"/>
      <c r="S31" s="4"/>
      <c r="T31" s="16" t="s">
        <v>55</v>
      </c>
      <c r="U31" s="4">
        <f>(R19)^2</f>
        <v>12062.41071</v>
      </c>
      <c r="V31" s="4">
        <f>(R20)^2</f>
        <v>11158.94585</v>
      </c>
      <c r="W31" s="4"/>
      <c r="X31" s="4"/>
      <c r="Y31" s="4"/>
      <c r="Z31" s="4"/>
      <c r="AA31" s="4"/>
      <c r="AB31" s="4"/>
      <c r="AC31" s="4"/>
      <c r="AD31" s="4"/>
      <c r="AE31" s="4"/>
      <c r="AF31" s="4"/>
      <c r="AG31" s="4"/>
      <c r="AH31" s="4"/>
      <c r="AI31" s="4"/>
      <c r="AJ31" s="4"/>
      <c r="AK31" s="4"/>
      <c r="AL31" s="4"/>
      <c r="AM31" s="4"/>
      <c r="AN31" s="4"/>
    </row>
    <row r="32" ht="15.75" customHeight="1">
      <c r="A32" s="6">
        <v>41353.0</v>
      </c>
      <c r="B32" s="7">
        <v>4.0</v>
      </c>
      <c r="C32" s="1" t="s">
        <v>8</v>
      </c>
      <c r="D32" s="1" t="s">
        <v>9</v>
      </c>
      <c r="E32" s="1" t="s">
        <v>12</v>
      </c>
      <c r="F32" s="1" t="s">
        <v>11</v>
      </c>
      <c r="G32" s="4">
        <v>3.0</v>
      </c>
      <c r="H32" s="9">
        <v>104.91</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row>
    <row r="33" ht="15.75" customHeight="1">
      <c r="A33" s="6">
        <v>41353.0</v>
      </c>
      <c r="B33" s="7">
        <v>4.0</v>
      </c>
      <c r="C33" s="1" t="s">
        <v>14</v>
      </c>
      <c r="D33" s="1" t="s">
        <v>18</v>
      </c>
      <c r="E33" s="1" t="s">
        <v>10</v>
      </c>
      <c r="F33" s="1" t="s">
        <v>19</v>
      </c>
      <c r="G33" s="4">
        <v>4.0</v>
      </c>
      <c r="H33" s="9">
        <v>101.37</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row>
    <row r="34" ht="15.75" customHeight="1">
      <c r="A34" s="6">
        <v>41353.0</v>
      </c>
      <c r="B34" s="7">
        <v>4.0</v>
      </c>
      <c r="C34" s="1" t="s">
        <v>14</v>
      </c>
      <c r="D34" s="1" t="s">
        <v>18</v>
      </c>
      <c r="E34" s="1" t="s">
        <v>10</v>
      </c>
      <c r="F34" s="1" t="s">
        <v>11</v>
      </c>
      <c r="G34" s="4">
        <v>2.0</v>
      </c>
      <c r="H34" s="9">
        <v>53.16</v>
      </c>
      <c r="I34" s="4"/>
      <c r="J34" s="4"/>
      <c r="K34" s="4"/>
      <c r="L34" s="4"/>
      <c r="M34" s="4"/>
      <c r="N34" s="2" t="s">
        <v>56</v>
      </c>
      <c r="O34" s="2" t="s">
        <v>57</v>
      </c>
      <c r="P34" s="19" t="s">
        <v>23</v>
      </c>
      <c r="Q34" s="20">
        <v>0.0</v>
      </c>
      <c r="R34" s="4"/>
      <c r="S34" s="4"/>
      <c r="T34" s="4"/>
      <c r="U34" s="4"/>
      <c r="V34" s="4"/>
      <c r="W34" s="4"/>
      <c r="X34" s="4"/>
      <c r="Y34" s="4"/>
      <c r="Z34" s="4"/>
      <c r="AA34" s="4"/>
      <c r="AB34" s="4"/>
      <c r="AC34" s="4"/>
      <c r="AD34" s="4"/>
      <c r="AE34" s="4"/>
      <c r="AF34" s="4"/>
      <c r="AG34" s="4"/>
      <c r="AH34" s="4"/>
      <c r="AI34" s="4"/>
      <c r="AJ34" s="4"/>
      <c r="AK34" s="4"/>
      <c r="AL34" s="4"/>
      <c r="AM34" s="4"/>
      <c r="AN34" s="4"/>
    </row>
    <row r="35" ht="15.75" customHeight="1">
      <c r="A35" s="6">
        <v>41353.0</v>
      </c>
      <c r="B35" s="7">
        <v>4.0</v>
      </c>
      <c r="C35" s="1" t="s">
        <v>15</v>
      </c>
      <c r="D35" s="1" t="s">
        <v>9</v>
      </c>
      <c r="E35" s="1" t="s">
        <v>10</v>
      </c>
      <c r="F35" s="1" t="s">
        <v>11</v>
      </c>
      <c r="G35" s="4">
        <v>2.0</v>
      </c>
      <c r="H35" s="9">
        <v>40.63</v>
      </c>
      <c r="I35" s="4"/>
      <c r="J35" s="4"/>
      <c r="K35" s="4"/>
      <c r="L35" s="4"/>
      <c r="M35" s="4"/>
      <c r="N35" s="2" t="s">
        <v>58</v>
      </c>
      <c r="O35" s="2" t="s">
        <v>57</v>
      </c>
      <c r="P35" s="19" t="s">
        <v>33</v>
      </c>
      <c r="Q35" s="20">
        <v>0.0</v>
      </c>
      <c r="R35" s="4"/>
      <c r="S35" s="4"/>
      <c r="T35" s="4"/>
      <c r="U35" s="4"/>
      <c r="V35" s="4"/>
      <c r="W35" s="4"/>
      <c r="X35" s="4"/>
      <c r="Y35" s="4"/>
      <c r="Z35" s="4"/>
      <c r="AA35" s="4"/>
      <c r="AB35" s="4"/>
      <c r="AC35" s="4"/>
      <c r="AD35" s="4"/>
      <c r="AE35" s="4"/>
      <c r="AF35" s="4"/>
      <c r="AG35" s="4"/>
      <c r="AH35" s="4"/>
      <c r="AI35" s="4"/>
      <c r="AJ35" s="4"/>
      <c r="AK35" s="4"/>
      <c r="AL35" s="4"/>
      <c r="AM35" s="4"/>
      <c r="AN35" s="4"/>
    </row>
    <row r="36" ht="15.75" customHeight="1">
      <c r="A36" s="6">
        <v>41354.0</v>
      </c>
      <c r="B36" s="7">
        <v>5.0</v>
      </c>
      <c r="C36" s="1" t="s">
        <v>8</v>
      </c>
      <c r="D36" s="1" t="s">
        <v>9</v>
      </c>
      <c r="E36" s="1" t="s">
        <v>10</v>
      </c>
      <c r="F36" s="1" t="s">
        <v>11</v>
      </c>
      <c r="G36" s="4">
        <v>7.0</v>
      </c>
      <c r="H36" s="9">
        <v>286.41</v>
      </c>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row>
    <row r="37" ht="15.75" customHeight="1">
      <c r="A37" s="6">
        <v>41354.0</v>
      </c>
      <c r="B37" s="7">
        <v>5.0</v>
      </c>
      <c r="C37" s="1" t="s">
        <v>14</v>
      </c>
      <c r="D37" s="1" t="s">
        <v>20</v>
      </c>
      <c r="E37" s="1" t="s">
        <v>12</v>
      </c>
      <c r="F37" s="1" t="s">
        <v>11</v>
      </c>
      <c r="G37" s="4">
        <v>2.0</v>
      </c>
      <c r="H37" s="9">
        <v>59.39</v>
      </c>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row>
    <row r="38" ht="15.75" customHeight="1">
      <c r="A38" s="6">
        <v>41354.0</v>
      </c>
      <c r="B38" s="7">
        <v>5.0</v>
      </c>
      <c r="C38" s="1" t="s">
        <v>15</v>
      </c>
      <c r="D38" s="1" t="s">
        <v>18</v>
      </c>
      <c r="E38" s="1" t="s">
        <v>10</v>
      </c>
      <c r="F38" s="1" t="s">
        <v>19</v>
      </c>
      <c r="G38" s="4">
        <v>4.0</v>
      </c>
      <c r="H38" s="9">
        <v>185.45</v>
      </c>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row>
    <row r="39" ht="15.75" customHeight="1">
      <c r="A39" s="6">
        <v>41355.0</v>
      </c>
      <c r="B39" s="7">
        <v>6.0</v>
      </c>
      <c r="C39" s="1" t="s">
        <v>8</v>
      </c>
      <c r="D39" s="1" t="s">
        <v>18</v>
      </c>
      <c r="E39" s="1" t="s">
        <v>12</v>
      </c>
      <c r="F39" s="1" t="s">
        <v>11</v>
      </c>
      <c r="G39" s="4">
        <v>2.0</v>
      </c>
      <c r="H39" s="9">
        <v>35.08</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row>
    <row r="40" ht="15.75" customHeight="1">
      <c r="A40" s="6">
        <v>41355.0</v>
      </c>
      <c r="B40" s="7">
        <v>6.0</v>
      </c>
      <c r="C40" s="1" t="s">
        <v>8</v>
      </c>
      <c r="D40" s="1" t="s">
        <v>21</v>
      </c>
      <c r="E40" s="8" t="s">
        <v>12</v>
      </c>
      <c r="F40" s="1" t="s">
        <v>19</v>
      </c>
      <c r="G40" s="4">
        <v>2.0</v>
      </c>
      <c r="H40" s="9">
        <v>91.62</v>
      </c>
      <c r="I40" s="4"/>
      <c r="J40" s="4"/>
      <c r="K40" s="4"/>
      <c r="L40" s="4"/>
      <c r="M40" s="4"/>
      <c r="N40" s="2" t="s">
        <v>59</v>
      </c>
      <c r="O40" s="21" t="s">
        <v>24</v>
      </c>
      <c r="P40" s="4"/>
      <c r="Q40" s="4"/>
      <c r="R40" s="2" t="s">
        <v>60</v>
      </c>
      <c r="S40" s="21">
        <f>U30+V30-2</f>
        <v>113</v>
      </c>
      <c r="T40" s="2" t="s">
        <v>61</v>
      </c>
      <c r="U40" s="22">
        <f>(N19-N20)/SQRT((U31/U19)+(V31/U20))</f>
        <v>0.2923394533</v>
      </c>
      <c r="V40" s="4"/>
      <c r="W40" s="4"/>
      <c r="X40" s="4"/>
      <c r="Y40" s="4"/>
      <c r="Z40" s="4"/>
      <c r="AA40" s="4"/>
      <c r="AB40" s="4"/>
      <c r="AC40" s="4"/>
      <c r="AD40" s="4"/>
      <c r="AE40" s="4"/>
      <c r="AF40" s="4"/>
      <c r="AG40" s="4"/>
      <c r="AH40" s="4"/>
      <c r="AI40" s="4"/>
      <c r="AJ40" s="4"/>
      <c r="AK40" s="4"/>
      <c r="AL40" s="4"/>
      <c r="AM40" s="4"/>
      <c r="AN40" s="4"/>
    </row>
    <row r="41" ht="15.75" customHeight="1">
      <c r="A41" s="6">
        <v>41355.0</v>
      </c>
      <c r="B41" s="7">
        <v>6.0</v>
      </c>
      <c r="C41" s="1" t="s">
        <v>8</v>
      </c>
      <c r="D41" s="1" t="s">
        <v>18</v>
      </c>
      <c r="E41" s="1" t="s">
        <v>17</v>
      </c>
      <c r="F41" s="1" t="s">
        <v>11</v>
      </c>
      <c r="G41" s="4">
        <v>8.0</v>
      </c>
      <c r="H41" s="9">
        <v>155.5</v>
      </c>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row>
    <row r="42" ht="15.75" customHeight="1">
      <c r="A42" s="6">
        <v>41355.0</v>
      </c>
      <c r="B42" s="7">
        <v>6.0</v>
      </c>
      <c r="C42" s="1" t="s">
        <v>15</v>
      </c>
      <c r="D42" s="1" t="s">
        <v>9</v>
      </c>
      <c r="E42" s="1" t="s">
        <v>10</v>
      </c>
      <c r="F42" s="1" t="s">
        <v>19</v>
      </c>
      <c r="G42" s="4">
        <v>4.0</v>
      </c>
      <c r="H42" s="9">
        <v>20.89</v>
      </c>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row>
    <row r="43" ht="15.75" customHeight="1">
      <c r="A43" s="6">
        <v>41355.0</v>
      </c>
      <c r="B43" s="7">
        <v>6.0</v>
      </c>
      <c r="C43" s="1" t="s">
        <v>15</v>
      </c>
      <c r="D43" s="1" t="s">
        <v>9</v>
      </c>
      <c r="E43" s="1" t="s">
        <v>12</v>
      </c>
      <c r="F43" s="1" t="s">
        <v>19</v>
      </c>
      <c r="G43" s="4">
        <v>6.0</v>
      </c>
      <c r="H43" s="9">
        <v>186.29</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row>
    <row r="44" ht="15.75" customHeight="1">
      <c r="A44" s="6">
        <v>41355.0</v>
      </c>
      <c r="B44" s="7">
        <v>6.0</v>
      </c>
      <c r="C44" s="1" t="s">
        <v>15</v>
      </c>
      <c r="D44" s="1" t="s">
        <v>9</v>
      </c>
      <c r="E44" s="1" t="s">
        <v>17</v>
      </c>
      <c r="F44" s="1" t="s">
        <v>11</v>
      </c>
      <c r="G44" s="4">
        <v>1.0</v>
      </c>
      <c r="H44" s="9">
        <v>42.22</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row>
    <row r="45" ht="15.75" customHeight="1">
      <c r="A45" s="6">
        <v>41355.0</v>
      </c>
      <c r="B45" s="7">
        <v>6.0</v>
      </c>
      <c r="C45" s="1" t="s">
        <v>15</v>
      </c>
      <c r="D45" s="1" t="s">
        <v>9</v>
      </c>
      <c r="E45" s="1" t="s">
        <v>10</v>
      </c>
      <c r="F45" s="1" t="s">
        <v>19</v>
      </c>
      <c r="G45" s="4">
        <v>2.0</v>
      </c>
      <c r="H45" s="9">
        <v>42.19</v>
      </c>
      <c r="I45" s="4"/>
      <c r="J45" s="4"/>
      <c r="K45" s="4"/>
      <c r="L45" s="4"/>
      <c r="M45" s="4"/>
      <c r="N45" s="2" t="s">
        <v>62</v>
      </c>
      <c r="O45" s="23">
        <f>1-_xlfn.T.DIST(U40,S40,1)</f>
        <v>0.385281587</v>
      </c>
      <c r="P45" s="4"/>
      <c r="Q45" s="4"/>
      <c r="R45" s="4"/>
      <c r="S45" s="4"/>
      <c r="T45" s="4"/>
      <c r="U45" s="4"/>
      <c r="V45" s="4"/>
      <c r="W45" s="4"/>
      <c r="X45" s="4"/>
      <c r="Y45" s="4"/>
      <c r="Z45" s="4"/>
      <c r="AA45" s="4"/>
      <c r="AB45" s="4"/>
      <c r="AC45" s="4"/>
      <c r="AD45" s="4"/>
      <c r="AE45" s="4"/>
      <c r="AF45" s="4"/>
      <c r="AG45" s="4"/>
      <c r="AH45" s="4"/>
      <c r="AI45" s="4"/>
      <c r="AJ45" s="4"/>
      <c r="AK45" s="4"/>
      <c r="AL45" s="4"/>
      <c r="AM45" s="4"/>
      <c r="AN45" s="4"/>
    </row>
    <row r="46" ht="15.75" customHeight="1">
      <c r="A46" s="6">
        <v>41356.0</v>
      </c>
      <c r="B46" s="7">
        <v>7.0</v>
      </c>
      <c r="C46" s="1" t="s">
        <v>14</v>
      </c>
      <c r="D46" s="1" t="s">
        <v>21</v>
      </c>
      <c r="E46" s="1" t="s">
        <v>10</v>
      </c>
      <c r="F46" s="1" t="s">
        <v>11</v>
      </c>
      <c r="G46" s="4">
        <v>1.0</v>
      </c>
      <c r="H46" s="9">
        <v>47.86</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row>
    <row r="47" ht="15.75" customHeight="1">
      <c r="A47" s="6">
        <v>41357.0</v>
      </c>
      <c r="B47" s="7">
        <v>1.0</v>
      </c>
      <c r="C47" s="1" t="s">
        <v>8</v>
      </c>
      <c r="D47" s="1" t="s">
        <v>20</v>
      </c>
      <c r="E47" s="1" t="s">
        <v>12</v>
      </c>
      <c r="F47" s="1" t="s">
        <v>11</v>
      </c>
      <c r="G47" s="4">
        <v>3.0</v>
      </c>
      <c r="H47" s="9">
        <v>139.76</v>
      </c>
      <c r="I47" s="4"/>
      <c r="J47" s="4"/>
      <c r="K47" s="4"/>
      <c r="L47" s="4"/>
      <c r="M47" s="4"/>
      <c r="N47" s="2" t="s">
        <v>63</v>
      </c>
      <c r="O47" s="21" t="s">
        <v>40</v>
      </c>
      <c r="P47" s="2" t="s">
        <v>64</v>
      </c>
      <c r="Q47" s="21" t="s">
        <v>26</v>
      </c>
      <c r="R47" s="2" t="s">
        <v>65</v>
      </c>
      <c r="S47" s="20">
        <v>0.05</v>
      </c>
      <c r="T47" s="2" t="s">
        <v>66</v>
      </c>
      <c r="U47" s="24" t="s">
        <v>33</v>
      </c>
      <c r="V47" s="4" t="s">
        <v>67</v>
      </c>
      <c r="W47" s="4"/>
      <c r="X47" s="4"/>
      <c r="Y47" s="4"/>
      <c r="Z47" s="4"/>
      <c r="AA47" s="4"/>
      <c r="AB47" s="4"/>
      <c r="AC47" s="4"/>
      <c r="AD47" s="4"/>
      <c r="AE47" s="4"/>
      <c r="AF47" s="4"/>
      <c r="AG47" s="4"/>
      <c r="AH47" s="4"/>
      <c r="AI47" s="4"/>
      <c r="AJ47" s="4"/>
      <c r="AK47" s="4"/>
      <c r="AL47" s="4"/>
      <c r="AM47" s="4"/>
      <c r="AN47" s="4"/>
    </row>
    <row r="48" ht="15.75" customHeight="1">
      <c r="A48" s="6">
        <v>41357.0</v>
      </c>
      <c r="B48" s="7">
        <v>1.0</v>
      </c>
      <c r="C48" s="1" t="s">
        <v>8</v>
      </c>
      <c r="D48" s="1" t="s">
        <v>18</v>
      </c>
      <c r="E48" s="1" t="s">
        <v>12</v>
      </c>
      <c r="F48" s="1" t="s">
        <v>11</v>
      </c>
      <c r="G48" s="4">
        <v>6.0</v>
      </c>
      <c r="H48" s="9">
        <v>186.42</v>
      </c>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row>
    <row r="49" ht="15.75" customHeight="1">
      <c r="A49" s="6">
        <v>41357.0</v>
      </c>
      <c r="B49" s="7">
        <v>1.0</v>
      </c>
      <c r="C49" s="1" t="s">
        <v>14</v>
      </c>
      <c r="D49" s="1" t="s">
        <v>20</v>
      </c>
      <c r="E49" s="1" t="s">
        <v>12</v>
      </c>
      <c r="F49" s="1" t="s">
        <v>11</v>
      </c>
      <c r="G49" s="4">
        <v>1.0</v>
      </c>
      <c r="H49" s="9">
        <v>54.08</v>
      </c>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row>
    <row r="50" ht="15.75" customHeight="1">
      <c r="A50" s="6">
        <v>41357.0</v>
      </c>
      <c r="B50" s="7">
        <v>1.0</v>
      </c>
      <c r="C50" s="1" t="s">
        <v>14</v>
      </c>
      <c r="D50" s="1" t="s">
        <v>9</v>
      </c>
      <c r="E50" s="1" t="s">
        <v>12</v>
      </c>
      <c r="F50" s="1" t="s">
        <v>11</v>
      </c>
      <c r="G50" s="4">
        <v>3.0</v>
      </c>
      <c r="H50" s="9">
        <v>84.98</v>
      </c>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row>
    <row r="51" ht="15.75" customHeight="1">
      <c r="A51" s="6">
        <v>41357.0</v>
      </c>
      <c r="B51" s="7">
        <v>1.0</v>
      </c>
      <c r="C51" s="1" t="s">
        <v>14</v>
      </c>
      <c r="D51" s="1" t="s">
        <v>20</v>
      </c>
      <c r="E51" s="1" t="s">
        <v>17</v>
      </c>
      <c r="F51" s="1" t="s">
        <v>11</v>
      </c>
      <c r="G51" s="4">
        <v>2.0</v>
      </c>
      <c r="H51" s="9">
        <v>27.13</v>
      </c>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row>
    <row r="52" ht="15.75" customHeight="1">
      <c r="A52" s="6">
        <v>41358.0</v>
      </c>
      <c r="B52" s="7">
        <v>2.0</v>
      </c>
      <c r="C52" s="1" t="s">
        <v>8</v>
      </c>
      <c r="D52" s="1" t="s">
        <v>9</v>
      </c>
      <c r="E52" s="1" t="s">
        <v>12</v>
      </c>
      <c r="F52" s="1" t="s">
        <v>11</v>
      </c>
      <c r="G52" s="4">
        <v>2.0</v>
      </c>
      <c r="H52" s="9">
        <v>54.7</v>
      </c>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row>
    <row r="53" ht="15.75" customHeight="1">
      <c r="A53" s="6">
        <v>41358.0</v>
      </c>
      <c r="B53" s="7">
        <v>2.0</v>
      </c>
      <c r="C53" s="1" t="s">
        <v>14</v>
      </c>
      <c r="D53" s="1" t="s">
        <v>20</v>
      </c>
      <c r="E53" s="1" t="s">
        <v>12</v>
      </c>
      <c r="F53" s="1" t="s">
        <v>11</v>
      </c>
      <c r="G53" s="4">
        <v>5.0</v>
      </c>
      <c r="H53" s="9">
        <v>229.54</v>
      </c>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row>
    <row r="54" ht="15.75" customHeight="1">
      <c r="A54" s="6">
        <v>41358.0</v>
      </c>
      <c r="B54" s="7">
        <v>2.0</v>
      </c>
      <c r="C54" s="1" t="s">
        <v>15</v>
      </c>
      <c r="D54" s="1" t="s">
        <v>9</v>
      </c>
      <c r="E54" s="1" t="s">
        <v>17</v>
      </c>
      <c r="F54" s="1" t="s">
        <v>19</v>
      </c>
      <c r="G54" s="4">
        <v>4.0</v>
      </c>
      <c r="H54" s="9">
        <v>124.21</v>
      </c>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row>
    <row r="55" ht="15.75" customHeight="1">
      <c r="A55" s="6">
        <v>41359.0</v>
      </c>
      <c r="B55" s="7">
        <v>3.0</v>
      </c>
      <c r="C55" s="1" t="s">
        <v>8</v>
      </c>
      <c r="D55" s="1" t="s">
        <v>9</v>
      </c>
      <c r="E55" s="1" t="s">
        <v>10</v>
      </c>
      <c r="F55" s="1" t="s">
        <v>11</v>
      </c>
      <c r="G55" s="4">
        <v>2.0</v>
      </c>
      <c r="H55" s="9">
        <v>26.39</v>
      </c>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row>
    <row r="56" ht="15.75" customHeight="1">
      <c r="A56" s="6">
        <v>41360.0</v>
      </c>
      <c r="B56" s="7">
        <v>4.0</v>
      </c>
      <c r="C56" s="1" t="s">
        <v>8</v>
      </c>
      <c r="D56" s="1" t="s">
        <v>9</v>
      </c>
      <c r="E56" s="1" t="s">
        <v>12</v>
      </c>
      <c r="F56" s="1" t="s">
        <v>11</v>
      </c>
      <c r="G56" s="4">
        <v>4.0</v>
      </c>
      <c r="H56" s="9">
        <v>106.97</v>
      </c>
      <c r="I56" s="4"/>
      <c r="J56" s="4"/>
      <c r="K56" s="4"/>
      <c r="L56" s="4"/>
      <c r="M56" s="4"/>
      <c r="N56" s="2"/>
      <c r="O56" s="2"/>
      <c r="P56" s="2"/>
      <c r="Q56" s="2"/>
      <c r="R56" s="2"/>
      <c r="S56" s="2"/>
      <c r="T56" s="2"/>
      <c r="U56" s="2"/>
      <c r="V56" s="2"/>
      <c r="W56" s="4"/>
      <c r="X56" s="4"/>
      <c r="Y56" s="4"/>
      <c r="Z56" s="4"/>
      <c r="AA56" s="4"/>
      <c r="AB56" s="4"/>
      <c r="AC56" s="4"/>
      <c r="AD56" s="4"/>
      <c r="AE56" s="4"/>
      <c r="AF56" s="4"/>
      <c r="AG56" s="4"/>
      <c r="AH56" s="4"/>
      <c r="AI56" s="4"/>
      <c r="AJ56" s="4"/>
      <c r="AK56" s="4"/>
      <c r="AL56" s="4"/>
      <c r="AM56" s="4"/>
      <c r="AN56" s="4"/>
    </row>
    <row r="57" ht="15.75" customHeight="1">
      <c r="A57" s="6">
        <v>41360.0</v>
      </c>
      <c r="B57" s="7">
        <v>4.0</v>
      </c>
      <c r="C57" s="1" t="s">
        <v>14</v>
      </c>
      <c r="D57" s="1" t="s">
        <v>9</v>
      </c>
      <c r="E57" s="8" t="s">
        <v>17</v>
      </c>
      <c r="F57" s="1" t="s">
        <v>11</v>
      </c>
      <c r="G57" s="4">
        <v>8.0</v>
      </c>
      <c r="H57" s="9">
        <v>377.18</v>
      </c>
      <c r="I57" s="4"/>
      <c r="J57" s="4"/>
      <c r="K57" s="4"/>
      <c r="L57" s="4"/>
      <c r="M57" s="4"/>
      <c r="N57" s="2"/>
      <c r="O57" s="2"/>
      <c r="P57" s="2"/>
      <c r="Q57" s="2"/>
      <c r="R57" s="2"/>
      <c r="S57" s="2"/>
      <c r="T57" s="2"/>
      <c r="U57" s="2"/>
      <c r="V57" s="2"/>
      <c r="W57" s="4"/>
      <c r="X57" s="4"/>
      <c r="Y57" s="4"/>
      <c r="Z57" s="4"/>
      <c r="AA57" s="4"/>
      <c r="AB57" s="4"/>
      <c r="AC57" s="4"/>
      <c r="AD57" s="4"/>
      <c r="AE57" s="4"/>
      <c r="AF57" s="4"/>
      <c r="AG57" s="4"/>
      <c r="AH57" s="4"/>
      <c r="AI57" s="4"/>
      <c r="AJ57" s="4"/>
      <c r="AK57" s="4"/>
      <c r="AL57" s="4"/>
      <c r="AM57" s="4"/>
      <c r="AN57" s="4"/>
    </row>
    <row r="58" ht="15.75" customHeight="1">
      <c r="A58" s="6">
        <v>41361.0</v>
      </c>
      <c r="B58" s="7">
        <v>5.0</v>
      </c>
      <c r="C58" s="1" t="s">
        <v>8</v>
      </c>
      <c r="D58" s="1" t="s">
        <v>18</v>
      </c>
      <c r="E58" s="1" t="s">
        <v>12</v>
      </c>
      <c r="F58" s="1" t="s">
        <v>11</v>
      </c>
      <c r="G58" s="4">
        <v>1.0</v>
      </c>
      <c r="H58" s="9">
        <v>24.31</v>
      </c>
      <c r="I58" s="4"/>
      <c r="J58" s="4"/>
      <c r="K58" s="4"/>
      <c r="L58" s="4"/>
      <c r="M58" s="4"/>
      <c r="N58" s="2"/>
      <c r="O58" s="2"/>
      <c r="P58" s="2"/>
      <c r="Q58" s="2"/>
      <c r="R58" s="2"/>
      <c r="S58" s="2"/>
      <c r="T58" s="2"/>
      <c r="U58" s="2"/>
      <c r="V58" s="2"/>
      <c r="W58" s="4"/>
      <c r="X58" s="4"/>
      <c r="Y58" s="4"/>
      <c r="Z58" s="4"/>
      <c r="AA58" s="4"/>
      <c r="AB58" s="4"/>
      <c r="AC58" s="4"/>
      <c r="AD58" s="4"/>
      <c r="AE58" s="4"/>
      <c r="AF58" s="4"/>
      <c r="AG58" s="4"/>
      <c r="AH58" s="4"/>
      <c r="AI58" s="4"/>
      <c r="AJ58" s="4"/>
      <c r="AK58" s="4"/>
      <c r="AL58" s="4"/>
      <c r="AM58" s="4"/>
      <c r="AN58" s="4"/>
    </row>
    <row r="59" ht="15.75" customHeight="1">
      <c r="A59" s="6">
        <v>41361.0</v>
      </c>
      <c r="B59" s="7">
        <v>5.0</v>
      </c>
      <c r="C59" s="1" t="s">
        <v>14</v>
      </c>
      <c r="D59" s="1" t="s">
        <v>20</v>
      </c>
      <c r="E59" s="1" t="s">
        <v>12</v>
      </c>
      <c r="F59" s="1" t="s">
        <v>11</v>
      </c>
      <c r="G59" s="4">
        <v>1.0</v>
      </c>
      <c r="H59" s="9">
        <v>34.47</v>
      </c>
      <c r="I59" s="4"/>
      <c r="J59" s="4"/>
      <c r="K59" s="4"/>
      <c r="L59" s="4"/>
      <c r="M59" s="4"/>
      <c r="N59" s="2"/>
      <c r="O59" s="2"/>
      <c r="P59" s="2"/>
      <c r="Q59" s="2"/>
      <c r="R59" s="2"/>
      <c r="S59" s="2"/>
      <c r="T59" s="2"/>
      <c r="U59" s="2"/>
      <c r="V59" s="2"/>
      <c r="W59" s="4"/>
      <c r="X59" s="4"/>
      <c r="Y59" s="4"/>
      <c r="Z59" s="4"/>
      <c r="AA59" s="4"/>
      <c r="AB59" s="4"/>
      <c r="AC59" s="4"/>
      <c r="AD59" s="4"/>
      <c r="AE59" s="4"/>
      <c r="AF59" s="4"/>
      <c r="AG59" s="4"/>
      <c r="AH59" s="4"/>
      <c r="AI59" s="4"/>
      <c r="AJ59" s="4"/>
      <c r="AK59" s="4"/>
      <c r="AL59" s="4"/>
      <c r="AM59" s="4"/>
      <c r="AN59" s="4"/>
    </row>
    <row r="60" ht="15.75" customHeight="1">
      <c r="A60" s="6">
        <v>41361.0</v>
      </c>
      <c r="B60" s="7">
        <v>5.0</v>
      </c>
      <c r="C60" s="1" t="s">
        <v>14</v>
      </c>
      <c r="D60" s="1" t="s">
        <v>9</v>
      </c>
      <c r="E60" s="8" t="s">
        <v>12</v>
      </c>
      <c r="F60" s="1" t="s">
        <v>19</v>
      </c>
      <c r="G60" s="4">
        <v>3.0</v>
      </c>
      <c r="H60" s="9">
        <v>106.19</v>
      </c>
      <c r="I60" s="4"/>
      <c r="J60" s="4"/>
      <c r="K60" s="4"/>
      <c r="L60" s="4"/>
      <c r="M60" s="4"/>
      <c r="N60" s="2"/>
      <c r="O60" s="2"/>
      <c r="P60" s="2"/>
      <c r="Q60" s="2"/>
      <c r="R60" s="2"/>
      <c r="S60" s="2"/>
      <c r="T60" s="2"/>
      <c r="U60" s="2"/>
      <c r="V60" s="2"/>
      <c r="W60" s="4"/>
      <c r="X60" s="4"/>
      <c r="Y60" s="4"/>
      <c r="Z60" s="4"/>
      <c r="AA60" s="4"/>
      <c r="AB60" s="4"/>
      <c r="AC60" s="4"/>
      <c r="AD60" s="4"/>
      <c r="AE60" s="4"/>
      <c r="AF60" s="4"/>
      <c r="AG60" s="4"/>
      <c r="AH60" s="4"/>
      <c r="AI60" s="4"/>
      <c r="AJ60" s="4"/>
      <c r="AK60" s="4"/>
      <c r="AL60" s="4"/>
      <c r="AM60" s="4"/>
      <c r="AN60" s="4"/>
    </row>
    <row r="61" ht="15.75" customHeight="1">
      <c r="A61" s="6">
        <v>41361.0</v>
      </c>
      <c r="B61" s="7">
        <v>5.0</v>
      </c>
      <c r="C61" s="1" t="s">
        <v>15</v>
      </c>
      <c r="D61" s="1" t="s">
        <v>18</v>
      </c>
      <c r="E61" s="1" t="s">
        <v>10</v>
      </c>
      <c r="F61" s="1" t="s">
        <v>19</v>
      </c>
      <c r="G61" s="4">
        <v>2.0</v>
      </c>
      <c r="H61" s="9">
        <v>55.3</v>
      </c>
      <c r="I61" s="4"/>
      <c r="J61" s="4"/>
      <c r="K61" s="4"/>
      <c r="L61" s="4"/>
      <c r="M61" s="4"/>
      <c r="N61" s="2"/>
      <c r="O61" s="2"/>
      <c r="P61" s="2"/>
      <c r="Q61" s="2"/>
      <c r="R61" s="2"/>
      <c r="S61" s="2"/>
      <c r="T61" s="2"/>
      <c r="U61" s="2"/>
      <c r="V61" s="2"/>
      <c r="W61" s="4"/>
      <c r="X61" s="4"/>
      <c r="Y61" s="4"/>
      <c r="Z61" s="4"/>
      <c r="AA61" s="4"/>
      <c r="AB61" s="4"/>
      <c r="AC61" s="4"/>
      <c r="AD61" s="4"/>
      <c r="AE61" s="4"/>
      <c r="AF61" s="4"/>
      <c r="AG61" s="4"/>
      <c r="AH61" s="4"/>
      <c r="AI61" s="4"/>
      <c r="AJ61" s="4"/>
      <c r="AK61" s="4"/>
      <c r="AL61" s="4"/>
      <c r="AM61" s="4"/>
      <c r="AN61" s="4"/>
    </row>
    <row r="62" ht="15.75" customHeight="1">
      <c r="A62" s="6">
        <v>41362.0</v>
      </c>
      <c r="B62" s="7">
        <v>6.0</v>
      </c>
      <c r="C62" s="1" t="s">
        <v>8</v>
      </c>
      <c r="D62" s="1" t="s">
        <v>18</v>
      </c>
      <c r="E62" s="1" t="s">
        <v>10</v>
      </c>
      <c r="F62" s="1" t="s">
        <v>11</v>
      </c>
      <c r="G62" s="4">
        <v>2.0</v>
      </c>
      <c r="H62" s="9">
        <v>82.98</v>
      </c>
      <c r="I62" s="4"/>
      <c r="J62" s="4"/>
      <c r="K62" s="4"/>
      <c r="L62" s="4"/>
      <c r="M62" s="4"/>
      <c r="N62" s="2"/>
      <c r="O62" s="2"/>
      <c r="P62" s="2"/>
      <c r="Q62" s="2"/>
      <c r="R62" s="2"/>
      <c r="S62" s="2"/>
      <c r="T62" s="2"/>
      <c r="U62" s="2"/>
      <c r="V62" s="2"/>
      <c r="W62" s="4"/>
      <c r="X62" s="4"/>
      <c r="Y62" s="4"/>
      <c r="Z62" s="4"/>
      <c r="AA62" s="4"/>
      <c r="AB62" s="4"/>
      <c r="AC62" s="4"/>
      <c r="AD62" s="4"/>
      <c r="AE62" s="4"/>
      <c r="AF62" s="4"/>
      <c r="AG62" s="4"/>
      <c r="AH62" s="4"/>
      <c r="AI62" s="4"/>
      <c r="AJ62" s="4"/>
      <c r="AK62" s="4"/>
      <c r="AL62" s="4"/>
      <c r="AM62" s="4"/>
      <c r="AN62" s="4"/>
    </row>
    <row r="63" ht="15.75" customHeight="1">
      <c r="A63" s="6">
        <v>41362.0</v>
      </c>
      <c r="B63" s="7">
        <v>6.0</v>
      </c>
      <c r="C63" s="1" t="s">
        <v>8</v>
      </c>
      <c r="D63" s="1" t="s">
        <v>18</v>
      </c>
      <c r="E63" s="1" t="s">
        <v>17</v>
      </c>
      <c r="F63" s="1" t="s">
        <v>19</v>
      </c>
      <c r="G63" s="4">
        <v>4.0</v>
      </c>
      <c r="H63" s="9">
        <v>101.79</v>
      </c>
      <c r="I63" s="4"/>
      <c r="J63" s="4"/>
      <c r="K63" s="4"/>
      <c r="L63" s="4"/>
      <c r="M63" s="4"/>
      <c r="N63" s="2"/>
      <c r="O63" s="2"/>
      <c r="P63" s="2"/>
      <c r="Q63" s="2"/>
      <c r="R63" s="2"/>
      <c r="S63" s="2"/>
      <c r="T63" s="2"/>
      <c r="U63" s="2"/>
      <c r="V63" s="2"/>
      <c r="W63" s="4"/>
      <c r="X63" s="4"/>
      <c r="Y63" s="4"/>
      <c r="Z63" s="4"/>
      <c r="AA63" s="4"/>
      <c r="AB63" s="4"/>
      <c r="AC63" s="4"/>
      <c r="AD63" s="4"/>
      <c r="AE63" s="4"/>
      <c r="AF63" s="4"/>
      <c r="AG63" s="4"/>
      <c r="AH63" s="4"/>
      <c r="AI63" s="4"/>
      <c r="AJ63" s="4"/>
      <c r="AK63" s="4"/>
      <c r="AL63" s="4"/>
      <c r="AM63" s="4"/>
      <c r="AN63" s="4"/>
    </row>
    <row r="64" ht="15.75" customHeight="1">
      <c r="A64" s="6">
        <v>41362.0</v>
      </c>
      <c r="B64" s="7">
        <v>6.0</v>
      </c>
      <c r="C64" s="1" t="s">
        <v>8</v>
      </c>
      <c r="D64" s="1" t="s">
        <v>21</v>
      </c>
      <c r="E64" s="1" t="s">
        <v>12</v>
      </c>
      <c r="F64" s="1" t="s">
        <v>19</v>
      </c>
      <c r="G64" s="4">
        <v>3.0</v>
      </c>
      <c r="H64" s="9">
        <v>99.28</v>
      </c>
      <c r="I64" s="4"/>
      <c r="J64" s="4"/>
      <c r="K64" s="4"/>
      <c r="L64" s="4"/>
      <c r="M64" s="4"/>
      <c r="N64" s="2"/>
      <c r="O64" s="2"/>
      <c r="P64" s="2"/>
      <c r="Q64" s="2"/>
      <c r="R64" s="2"/>
      <c r="S64" s="2"/>
      <c r="T64" s="2"/>
      <c r="U64" s="2"/>
      <c r="V64" s="2"/>
      <c r="W64" s="4"/>
      <c r="X64" s="4"/>
      <c r="Y64" s="4"/>
      <c r="Z64" s="4"/>
      <c r="AA64" s="4"/>
      <c r="AB64" s="4"/>
      <c r="AC64" s="4"/>
      <c r="AD64" s="4"/>
      <c r="AE64" s="4"/>
      <c r="AF64" s="4"/>
      <c r="AG64" s="4"/>
      <c r="AH64" s="4"/>
      <c r="AI64" s="4"/>
      <c r="AJ64" s="4"/>
      <c r="AK64" s="4"/>
      <c r="AL64" s="4"/>
      <c r="AM64" s="4"/>
      <c r="AN64" s="4"/>
    </row>
    <row r="65" ht="15.75" customHeight="1">
      <c r="A65" s="6">
        <v>41362.0</v>
      </c>
      <c r="B65" s="7">
        <v>6.0</v>
      </c>
      <c r="C65" s="1" t="s">
        <v>8</v>
      </c>
      <c r="D65" s="1" t="s">
        <v>18</v>
      </c>
      <c r="E65" s="1" t="s">
        <v>12</v>
      </c>
      <c r="F65" s="1" t="s">
        <v>11</v>
      </c>
      <c r="G65" s="4">
        <v>3.0</v>
      </c>
      <c r="H65" s="9">
        <v>100.09</v>
      </c>
      <c r="I65" s="4"/>
      <c r="J65" s="4"/>
      <c r="K65" s="4"/>
      <c r="L65" s="4"/>
      <c r="M65" s="4"/>
      <c r="N65" s="2"/>
      <c r="O65" s="2"/>
      <c r="P65" s="2"/>
      <c r="Q65" s="2"/>
      <c r="R65" s="2"/>
      <c r="S65" s="2"/>
      <c r="T65" s="2"/>
      <c r="U65" s="2"/>
      <c r="V65" s="2"/>
      <c r="W65" s="4"/>
      <c r="X65" s="4"/>
      <c r="Y65" s="4"/>
      <c r="Z65" s="4"/>
      <c r="AA65" s="4"/>
      <c r="AB65" s="4"/>
      <c r="AC65" s="4"/>
      <c r="AD65" s="25"/>
      <c r="AF65" s="4"/>
      <c r="AG65" s="4"/>
      <c r="AH65" s="4"/>
      <c r="AI65" s="4"/>
      <c r="AJ65" s="4"/>
      <c r="AK65" s="16"/>
      <c r="AL65" s="16"/>
      <c r="AM65" s="4"/>
      <c r="AN65" s="4"/>
    </row>
    <row r="66" ht="15.75" customHeight="1">
      <c r="A66" s="6">
        <v>41362.0</v>
      </c>
      <c r="B66" s="7">
        <v>6.0</v>
      </c>
      <c r="C66" s="1" t="s">
        <v>14</v>
      </c>
      <c r="D66" s="1" t="s">
        <v>18</v>
      </c>
      <c r="E66" s="1" t="s">
        <v>17</v>
      </c>
      <c r="F66" s="1" t="s">
        <v>11</v>
      </c>
      <c r="G66" s="4">
        <v>3.0</v>
      </c>
      <c r="H66" s="9">
        <v>88.91</v>
      </c>
      <c r="I66" s="4"/>
      <c r="J66" s="4"/>
      <c r="K66" s="4"/>
      <c r="L66" s="4"/>
      <c r="M66" s="26" t="s">
        <v>68</v>
      </c>
      <c r="N66" s="27"/>
      <c r="O66" s="28"/>
      <c r="P66" s="4"/>
      <c r="Q66" s="2"/>
      <c r="R66" s="2"/>
      <c r="S66" s="2"/>
      <c r="T66" s="2"/>
      <c r="U66" s="2"/>
      <c r="V66" s="2"/>
      <c r="W66" s="4"/>
      <c r="X66" s="4"/>
      <c r="Y66" s="4"/>
      <c r="Z66" s="4"/>
      <c r="AA66" s="4"/>
      <c r="AB66" s="4"/>
      <c r="AC66" s="4"/>
      <c r="AD66" s="29"/>
      <c r="AE66" s="30"/>
      <c r="AF66" s="4"/>
      <c r="AG66" s="4"/>
      <c r="AH66" s="4"/>
      <c r="AI66" s="4"/>
      <c r="AJ66" s="4"/>
      <c r="AK66" s="31"/>
      <c r="AL66" s="9"/>
      <c r="AM66" s="4"/>
      <c r="AN66" s="4"/>
    </row>
    <row r="67" ht="15.75" customHeight="1">
      <c r="A67" s="6">
        <v>41362.0</v>
      </c>
      <c r="B67" s="7">
        <v>6.0</v>
      </c>
      <c r="C67" s="1" t="s">
        <v>14</v>
      </c>
      <c r="D67" s="1" t="s">
        <v>21</v>
      </c>
      <c r="E67" s="1" t="s">
        <v>17</v>
      </c>
      <c r="F67" s="1" t="s">
        <v>19</v>
      </c>
      <c r="G67" s="4">
        <v>2.0</v>
      </c>
      <c r="H67" s="9">
        <v>62.58</v>
      </c>
      <c r="I67" s="4"/>
      <c r="J67" s="4"/>
      <c r="K67" s="4"/>
      <c r="L67" s="4"/>
      <c r="M67" s="32"/>
      <c r="O67" s="33"/>
      <c r="P67" s="4"/>
      <c r="Q67" s="2"/>
      <c r="R67" s="2"/>
      <c r="S67" s="2"/>
      <c r="T67" s="2"/>
      <c r="U67" s="2"/>
      <c r="V67" s="2"/>
      <c r="W67" s="4"/>
      <c r="X67" s="4"/>
      <c r="Y67" s="4"/>
      <c r="Z67" s="4"/>
      <c r="AA67" s="4"/>
      <c r="AB67" s="4"/>
      <c r="AC67" s="4"/>
      <c r="AD67" s="29"/>
      <c r="AE67" s="9"/>
      <c r="AF67" s="4"/>
      <c r="AG67" s="4"/>
      <c r="AH67" s="4"/>
      <c r="AI67" s="4"/>
      <c r="AJ67" s="4"/>
      <c r="AK67" s="29"/>
      <c r="AL67" s="9"/>
      <c r="AM67" s="4"/>
      <c r="AN67" s="4"/>
    </row>
    <row r="68" ht="15.75" customHeight="1">
      <c r="A68" s="6">
        <v>41362.0</v>
      </c>
      <c r="B68" s="7">
        <v>6.0</v>
      </c>
      <c r="C68" s="1" t="s">
        <v>14</v>
      </c>
      <c r="D68" s="1" t="s">
        <v>20</v>
      </c>
      <c r="E68" s="1" t="s">
        <v>10</v>
      </c>
      <c r="F68" s="1" t="s">
        <v>11</v>
      </c>
      <c r="G68" s="4">
        <v>1.0</v>
      </c>
      <c r="H68" s="9">
        <v>28.87</v>
      </c>
      <c r="I68" s="4"/>
      <c r="J68" s="4"/>
      <c r="K68" s="4"/>
      <c r="L68" s="4"/>
      <c r="M68" s="34"/>
      <c r="N68" s="35" t="s">
        <v>69</v>
      </c>
      <c r="O68" s="36" t="s">
        <v>70</v>
      </c>
      <c r="P68" s="4"/>
      <c r="Q68" s="2"/>
      <c r="R68" s="2"/>
      <c r="S68" s="2"/>
      <c r="T68" s="2"/>
      <c r="U68" s="2"/>
      <c r="V68" s="2"/>
      <c r="W68" s="4"/>
      <c r="X68" s="4"/>
      <c r="Y68" s="4"/>
      <c r="Z68" s="4"/>
      <c r="AA68" s="4"/>
      <c r="AB68" s="4"/>
      <c r="AC68" s="4"/>
      <c r="AD68" s="29"/>
      <c r="AE68" s="37"/>
      <c r="AF68" s="38"/>
      <c r="AG68" s="38"/>
      <c r="AH68" s="4"/>
      <c r="AI68" s="4"/>
      <c r="AJ68" s="4"/>
      <c r="AK68" s="39"/>
      <c r="AL68" s="40"/>
      <c r="AM68" s="38"/>
      <c r="AN68" s="4"/>
    </row>
    <row r="69" ht="15.75" customHeight="1">
      <c r="A69" s="6">
        <v>41362.0</v>
      </c>
      <c r="B69" s="7">
        <v>6.0</v>
      </c>
      <c r="C69" s="1" t="s">
        <v>14</v>
      </c>
      <c r="D69" s="1" t="s">
        <v>21</v>
      </c>
      <c r="E69" s="8" t="s">
        <v>10</v>
      </c>
      <c r="F69" s="1" t="s">
        <v>19</v>
      </c>
      <c r="G69" s="4">
        <v>4.0</v>
      </c>
      <c r="H69" s="9">
        <v>141.29</v>
      </c>
      <c r="I69" s="4"/>
      <c r="J69" s="4"/>
      <c r="K69" s="4"/>
      <c r="L69" s="4"/>
      <c r="M69" s="32" t="s">
        <v>71</v>
      </c>
      <c r="N69" s="41">
        <v>170.01528301886802</v>
      </c>
      <c r="O69" s="42">
        <v>164.11338709677418</v>
      </c>
      <c r="P69" s="4"/>
      <c r="Q69" s="2"/>
      <c r="R69" s="2"/>
      <c r="S69" s="2"/>
      <c r="T69" s="2"/>
      <c r="U69" s="2"/>
      <c r="V69" s="2"/>
      <c r="W69" s="4"/>
      <c r="X69" s="4"/>
      <c r="Y69" s="4"/>
      <c r="Z69" s="4"/>
      <c r="AA69" s="4"/>
      <c r="AB69" s="4"/>
      <c r="AC69" s="4"/>
      <c r="AD69" s="29"/>
      <c r="AE69" s="30"/>
      <c r="AF69" s="43"/>
      <c r="AG69" s="43"/>
      <c r="AH69" s="4"/>
      <c r="AI69" s="4"/>
      <c r="AJ69" s="4"/>
      <c r="AK69" s="31"/>
      <c r="AL69" s="30"/>
      <c r="AM69" s="43"/>
      <c r="AN69" s="4"/>
    </row>
    <row r="70" ht="15.75" customHeight="1">
      <c r="A70" s="6">
        <v>41362.0</v>
      </c>
      <c r="B70" s="7">
        <v>6.0</v>
      </c>
      <c r="C70" s="1" t="s">
        <v>15</v>
      </c>
      <c r="D70" s="1" t="s">
        <v>18</v>
      </c>
      <c r="E70" s="1" t="s">
        <v>17</v>
      </c>
      <c r="F70" s="1" t="s">
        <v>19</v>
      </c>
      <c r="G70" s="4">
        <v>4.0</v>
      </c>
      <c r="H70" s="9">
        <v>66.54</v>
      </c>
      <c r="I70" s="4"/>
      <c r="J70" s="4"/>
      <c r="K70" s="4"/>
      <c r="L70" s="4"/>
      <c r="M70" s="32" t="s">
        <v>72</v>
      </c>
      <c r="N70" s="41">
        <v>12062.41070616836</v>
      </c>
      <c r="O70" s="42">
        <v>11158.945848995241</v>
      </c>
      <c r="P70" s="4"/>
      <c r="Q70" s="2"/>
      <c r="R70" s="2"/>
      <c r="S70" s="2"/>
      <c r="T70" s="2"/>
      <c r="U70" s="2"/>
      <c r="V70" s="2"/>
      <c r="W70" s="4"/>
      <c r="X70" s="4"/>
      <c r="Y70" s="4"/>
      <c r="Z70" s="4"/>
      <c r="AA70" s="4"/>
      <c r="AB70" s="4"/>
      <c r="AC70" s="4"/>
      <c r="AD70" s="29"/>
      <c r="AE70" s="30"/>
      <c r="AF70" s="43"/>
      <c r="AG70" s="43"/>
      <c r="AH70" s="4"/>
      <c r="AI70" s="4"/>
      <c r="AJ70" s="4"/>
      <c r="AK70" s="31"/>
      <c r="AL70" s="30"/>
      <c r="AM70" s="43"/>
      <c r="AN70" s="4"/>
    </row>
    <row r="71" ht="15.75" customHeight="1">
      <c r="A71" s="6">
        <v>41362.0</v>
      </c>
      <c r="B71" s="7">
        <v>6.0</v>
      </c>
      <c r="C71" s="1" t="s">
        <v>15</v>
      </c>
      <c r="D71" s="1" t="s">
        <v>20</v>
      </c>
      <c r="E71" s="1" t="s">
        <v>10</v>
      </c>
      <c r="F71" s="1" t="s">
        <v>11</v>
      </c>
      <c r="G71" s="4">
        <v>2.0</v>
      </c>
      <c r="H71" s="9">
        <v>69.03</v>
      </c>
      <c r="I71" s="4"/>
      <c r="J71" s="4"/>
      <c r="K71" s="4"/>
      <c r="L71" s="4"/>
      <c r="M71" s="32" t="s">
        <v>73</v>
      </c>
      <c r="N71" s="44">
        <v>53.0</v>
      </c>
      <c r="O71" s="42">
        <v>62.0</v>
      </c>
      <c r="P71" s="4"/>
      <c r="Q71" s="2"/>
      <c r="R71" s="2"/>
      <c r="S71" s="2"/>
      <c r="T71" s="2"/>
      <c r="U71" s="2"/>
      <c r="V71" s="2"/>
      <c r="W71" s="4"/>
      <c r="X71" s="4"/>
      <c r="Y71" s="4"/>
      <c r="Z71" s="4"/>
      <c r="AA71" s="4"/>
      <c r="AB71" s="4"/>
      <c r="AC71" s="4"/>
      <c r="AD71" s="29"/>
      <c r="AE71" s="30"/>
      <c r="AF71" s="43"/>
      <c r="AG71" s="43"/>
      <c r="AH71" s="4"/>
      <c r="AI71" s="4"/>
      <c r="AJ71" s="4"/>
      <c r="AK71" s="31"/>
      <c r="AL71" s="30"/>
      <c r="AM71" s="43"/>
      <c r="AN71" s="4"/>
    </row>
    <row r="72" ht="15.75" customHeight="1">
      <c r="A72" s="6">
        <v>41363.0</v>
      </c>
      <c r="B72" s="7">
        <v>7.0</v>
      </c>
      <c r="C72" s="1" t="s">
        <v>14</v>
      </c>
      <c r="D72" s="1" t="s">
        <v>20</v>
      </c>
      <c r="E72" s="8" t="s">
        <v>12</v>
      </c>
      <c r="F72" s="1" t="s">
        <v>11</v>
      </c>
      <c r="G72" s="4">
        <v>2.0</v>
      </c>
      <c r="H72" s="9">
        <v>65.51</v>
      </c>
      <c r="I72" s="4"/>
      <c r="J72" s="4"/>
      <c r="K72" s="4"/>
      <c r="L72" s="4"/>
      <c r="M72" s="32" t="s">
        <v>74</v>
      </c>
      <c r="N72" s="41">
        <v>11574.699588579331</v>
      </c>
      <c r="O72" s="33"/>
      <c r="P72" s="4"/>
      <c r="Q72" s="2"/>
      <c r="R72" s="2"/>
      <c r="S72" s="2"/>
      <c r="T72" s="2"/>
      <c r="U72" s="2"/>
      <c r="V72" s="2"/>
      <c r="W72" s="4"/>
      <c r="X72" s="4"/>
      <c r="Y72" s="4"/>
      <c r="Z72" s="4"/>
      <c r="AA72" s="4"/>
      <c r="AB72" s="4"/>
      <c r="AC72" s="4"/>
      <c r="AD72" s="29"/>
      <c r="AE72" s="30"/>
      <c r="AF72" s="43"/>
      <c r="AG72" s="4"/>
      <c r="AH72" s="4"/>
      <c r="AI72" s="4"/>
      <c r="AJ72" s="4"/>
      <c r="AK72" s="31"/>
      <c r="AL72" s="30"/>
      <c r="AM72" s="4"/>
      <c r="AN72" s="4"/>
    </row>
    <row r="73" ht="15.75" customHeight="1">
      <c r="A73" s="6">
        <v>41363.0</v>
      </c>
      <c r="B73" s="7">
        <v>7.0</v>
      </c>
      <c r="C73" s="1" t="s">
        <v>15</v>
      </c>
      <c r="D73" s="1" t="s">
        <v>9</v>
      </c>
      <c r="E73" s="1" t="s">
        <v>10</v>
      </c>
      <c r="F73" s="1" t="s">
        <v>11</v>
      </c>
      <c r="G73" s="4">
        <v>2.0</v>
      </c>
      <c r="H73" s="9">
        <v>35.59</v>
      </c>
      <c r="I73" s="4"/>
      <c r="J73" s="4"/>
      <c r="K73" s="4"/>
      <c r="L73" s="4"/>
      <c r="M73" s="32" t="s">
        <v>75</v>
      </c>
      <c r="N73" s="41">
        <v>0.0</v>
      </c>
      <c r="O73" s="33"/>
      <c r="P73" s="4"/>
      <c r="Q73" s="2"/>
      <c r="R73" s="2"/>
      <c r="S73" s="2"/>
      <c r="T73" s="2"/>
      <c r="U73" s="2"/>
      <c r="V73" s="2"/>
      <c r="W73" s="4"/>
      <c r="X73" s="4"/>
      <c r="Y73" s="4"/>
      <c r="Z73" s="4"/>
      <c r="AA73" s="4"/>
      <c r="AB73" s="4"/>
      <c r="AC73" s="4"/>
      <c r="AD73" s="29"/>
      <c r="AE73" s="30"/>
      <c r="AF73" s="16"/>
      <c r="AG73" s="4"/>
      <c r="AH73" s="4"/>
      <c r="AI73" s="4"/>
      <c r="AJ73" s="4"/>
      <c r="AK73" s="31"/>
      <c r="AL73" s="30"/>
      <c r="AM73" s="4"/>
      <c r="AN73" s="4"/>
    </row>
    <row r="74" ht="15.75" customHeight="1">
      <c r="A74" s="6">
        <v>41364.0</v>
      </c>
      <c r="B74" s="7">
        <v>1.0</v>
      </c>
      <c r="C74" s="1" t="s">
        <v>14</v>
      </c>
      <c r="D74" s="1" t="s">
        <v>20</v>
      </c>
      <c r="E74" s="1" t="s">
        <v>10</v>
      </c>
      <c r="F74" s="1" t="s">
        <v>11</v>
      </c>
      <c r="G74" s="4">
        <v>7.0</v>
      </c>
      <c r="H74" s="9">
        <v>320.18</v>
      </c>
      <c r="I74" s="4"/>
      <c r="J74" s="4"/>
      <c r="K74" s="4"/>
      <c r="L74" s="4"/>
      <c r="M74" s="32" t="s">
        <v>76</v>
      </c>
      <c r="N74" s="41">
        <v>113.0</v>
      </c>
      <c r="O74" s="33"/>
      <c r="P74" s="4"/>
      <c r="Q74" s="2"/>
      <c r="R74" s="2"/>
      <c r="S74" s="2"/>
      <c r="T74" s="2"/>
      <c r="U74" s="2"/>
      <c r="V74" s="2"/>
      <c r="W74" s="4"/>
      <c r="X74" s="4"/>
      <c r="Y74" s="4"/>
      <c r="Z74" s="4"/>
      <c r="AA74" s="4"/>
      <c r="AB74" s="4"/>
      <c r="AC74" s="4"/>
      <c r="AD74" s="29"/>
      <c r="AE74" s="30"/>
      <c r="AF74" s="43"/>
      <c r="AG74" s="4"/>
      <c r="AH74" s="4"/>
      <c r="AI74" s="4"/>
      <c r="AJ74" s="4"/>
      <c r="AK74" s="31"/>
      <c r="AL74" s="30"/>
      <c r="AM74" s="4"/>
      <c r="AN74" s="4"/>
    </row>
    <row r="75" ht="15.75" customHeight="1">
      <c r="A75" s="6">
        <v>41364.0</v>
      </c>
      <c r="B75" s="7">
        <v>1.0</v>
      </c>
      <c r="C75" s="1" t="s">
        <v>14</v>
      </c>
      <c r="D75" s="1" t="s">
        <v>21</v>
      </c>
      <c r="E75" s="8" t="s">
        <v>12</v>
      </c>
      <c r="F75" s="1" t="s">
        <v>19</v>
      </c>
      <c r="G75" s="4">
        <v>5.0</v>
      </c>
      <c r="H75" s="9">
        <v>128.57</v>
      </c>
      <c r="I75" s="4"/>
      <c r="J75" s="4"/>
      <c r="K75" s="4"/>
      <c r="L75" s="4"/>
      <c r="M75" s="32" t="s">
        <v>77</v>
      </c>
      <c r="N75" s="44" t="s">
        <v>38</v>
      </c>
      <c r="O75" s="45">
        <v>0.2932388731365829</v>
      </c>
      <c r="P75" s="4"/>
      <c r="Q75" s="2"/>
      <c r="R75" s="2"/>
      <c r="S75" s="2"/>
      <c r="T75" s="2"/>
      <c r="U75" s="2"/>
      <c r="V75" s="4"/>
      <c r="W75" s="4"/>
      <c r="X75" s="4"/>
      <c r="Y75" s="4"/>
      <c r="Z75" s="4"/>
      <c r="AA75" s="4"/>
      <c r="AB75" s="4"/>
      <c r="AC75" s="4"/>
      <c r="AD75" s="29"/>
      <c r="AE75" s="30"/>
      <c r="AF75" s="43"/>
      <c r="AG75" s="4"/>
      <c r="AH75" s="4"/>
      <c r="AI75" s="4"/>
      <c r="AJ75" s="4"/>
      <c r="AK75" s="31"/>
      <c r="AL75" s="30"/>
      <c r="AM75" s="4"/>
      <c r="AN75" s="4"/>
    </row>
    <row r="76" ht="15.75" customHeight="1">
      <c r="A76" s="6">
        <v>41364.0</v>
      </c>
      <c r="B76" s="7">
        <v>1.0</v>
      </c>
      <c r="C76" s="1" t="s">
        <v>15</v>
      </c>
      <c r="D76" s="1" t="s">
        <v>9</v>
      </c>
      <c r="E76" s="1" t="s">
        <v>12</v>
      </c>
      <c r="F76" s="1" t="s">
        <v>19</v>
      </c>
      <c r="G76" s="4">
        <v>6.0</v>
      </c>
      <c r="H76" s="9">
        <v>248.42</v>
      </c>
      <c r="I76" s="4"/>
      <c r="J76" s="4"/>
      <c r="K76" s="4"/>
      <c r="L76" s="4"/>
      <c r="M76" s="32" t="s">
        <v>78</v>
      </c>
      <c r="N76" s="41">
        <v>0.38493869889570714</v>
      </c>
      <c r="O76" s="33"/>
      <c r="P76" s="4"/>
      <c r="Q76" s="2"/>
      <c r="R76" s="2"/>
      <c r="S76" s="2"/>
      <c r="T76" s="2"/>
      <c r="U76" s="2"/>
      <c r="V76" s="4"/>
      <c r="W76" s="4"/>
      <c r="X76" s="4"/>
      <c r="Y76" s="4"/>
      <c r="Z76" s="4"/>
      <c r="AA76" s="4"/>
      <c r="AB76" s="4"/>
      <c r="AC76" s="4"/>
      <c r="AD76" s="29"/>
      <c r="AE76" s="30"/>
      <c r="AF76" s="43"/>
      <c r="AG76" s="4"/>
      <c r="AH76" s="4"/>
      <c r="AI76" s="4"/>
      <c r="AJ76" s="4"/>
      <c r="AK76" s="31"/>
      <c r="AL76" s="30"/>
      <c r="AM76" s="4"/>
      <c r="AN76" s="4"/>
    </row>
    <row r="77" ht="15.75" customHeight="1">
      <c r="A77" s="6">
        <v>41364.0</v>
      </c>
      <c r="B77" s="7">
        <v>1.0</v>
      </c>
      <c r="C77" s="1" t="s">
        <v>15</v>
      </c>
      <c r="D77" s="1" t="s">
        <v>18</v>
      </c>
      <c r="E77" s="1" t="s">
        <v>17</v>
      </c>
      <c r="F77" s="1" t="s">
        <v>19</v>
      </c>
      <c r="G77" s="4">
        <v>2.0</v>
      </c>
      <c r="H77" s="9">
        <v>50.04</v>
      </c>
      <c r="I77" s="4"/>
      <c r="J77" s="4"/>
      <c r="K77" s="4"/>
      <c r="L77" s="4"/>
      <c r="M77" s="32" t="s">
        <v>79</v>
      </c>
      <c r="N77" s="44" t="s">
        <v>34</v>
      </c>
      <c r="O77" s="45">
        <v>1.6584501558972506</v>
      </c>
      <c r="P77" s="4"/>
      <c r="Q77" s="2"/>
      <c r="R77" s="2"/>
      <c r="S77" s="2"/>
      <c r="T77" s="2"/>
      <c r="U77" s="2"/>
      <c r="V77" s="4"/>
      <c r="W77" s="4"/>
      <c r="X77" s="4"/>
      <c r="Y77" s="4"/>
      <c r="Z77" s="4"/>
      <c r="AA77" s="4"/>
      <c r="AB77" s="4"/>
      <c r="AC77" s="4"/>
      <c r="AD77" s="29"/>
      <c r="AE77" s="30"/>
      <c r="AF77" s="43"/>
      <c r="AG77" s="4"/>
      <c r="AH77" s="4"/>
      <c r="AI77" s="4"/>
      <c r="AJ77" s="4"/>
      <c r="AK77" s="31"/>
      <c r="AL77" s="30"/>
      <c r="AM77" s="4"/>
      <c r="AN77" s="4"/>
    </row>
    <row r="78" ht="15.75" customHeight="1">
      <c r="A78" s="6">
        <v>41365.0</v>
      </c>
      <c r="B78" s="7">
        <v>2.0</v>
      </c>
      <c r="C78" s="1" t="s">
        <v>8</v>
      </c>
      <c r="D78" s="1" t="s">
        <v>18</v>
      </c>
      <c r="E78" s="1" t="s">
        <v>17</v>
      </c>
      <c r="F78" s="1" t="s">
        <v>19</v>
      </c>
      <c r="G78" s="4">
        <v>4.0</v>
      </c>
      <c r="H78" s="9">
        <v>145.48</v>
      </c>
      <c r="I78" s="4"/>
      <c r="J78" s="4"/>
      <c r="K78" s="4"/>
      <c r="L78" s="4"/>
      <c r="M78" s="32" t="s">
        <v>80</v>
      </c>
      <c r="N78" s="41">
        <v>0.7698773977914143</v>
      </c>
      <c r="O78" s="33"/>
      <c r="P78" s="4"/>
      <c r="Q78" s="4"/>
      <c r="R78" s="4"/>
      <c r="S78" s="4"/>
      <c r="T78" s="4"/>
      <c r="U78" s="4"/>
      <c r="V78" s="4"/>
      <c r="W78" s="4"/>
      <c r="X78" s="4"/>
      <c r="Y78" s="4"/>
      <c r="Z78" s="4"/>
      <c r="AA78" s="4"/>
      <c r="AB78" s="4"/>
      <c r="AC78" s="4"/>
      <c r="AD78" s="29"/>
      <c r="AE78" s="30"/>
      <c r="AF78" s="43"/>
      <c r="AG78" s="4"/>
      <c r="AH78" s="4"/>
      <c r="AI78" s="4"/>
      <c r="AJ78" s="4"/>
      <c r="AK78" s="31"/>
      <c r="AL78" s="30"/>
      <c r="AM78" s="4"/>
      <c r="AN78" s="4"/>
    </row>
    <row r="79" ht="15.75" customHeight="1">
      <c r="A79" s="6">
        <v>41365.0</v>
      </c>
      <c r="B79" s="7">
        <v>2.0</v>
      </c>
      <c r="C79" s="1" t="s">
        <v>14</v>
      </c>
      <c r="D79" s="1" t="s">
        <v>9</v>
      </c>
      <c r="E79" s="8" t="s">
        <v>12</v>
      </c>
      <c r="F79" s="1" t="s">
        <v>11</v>
      </c>
      <c r="G79" s="4">
        <v>9.0</v>
      </c>
      <c r="H79" s="9">
        <v>403.6</v>
      </c>
      <c r="I79" s="4"/>
      <c r="J79" s="4"/>
      <c r="K79" s="4"/>
      <c r="L79" s="4"/>
      <c r="M79" s="46" t="s">
        <v>81</v>
      </c>
      <c r="N79" s="47">
        <v>1.9811802961829608</v>
      </c>
      <c r="O79" s="48"/>
      <c r="P79" s="4"/>
      <c r="Q79" s="4"/>
      <c r="R79" s="4"/>
      <c r="S79" s="4"/>
      <c r="T79" s="4"/>
      <c r="U79" s="4"/>
      <c r="V79" s="4"/>
      <c r="W79" s="4"/>
      <c r="X79" s="4"/>
      <c r="Y79" s="4"/>
      <c r="Z79" s="4"/>
      <c r="AA79" s="4"/>
      <c r="AB79" s="4"/>
      <c r="AC79" s="4"/>
      <c r="AD79" s="29"/>
      <c r="AE79" s="49"/>
      <c r="AF79" s="50"/>
      <c r="AG79" s="51"/>
      <c r="AH79" s="4"/>
      <c r="AI79" s="4"/>
      <c r="AJ79" s="4"/>
      <c r="AK79" s="52"/>
      <c r="AL79" s="49"/>
      <c r="AM79" s="51"/>
      <c r="AN79" s="4"/>
    </row>
    <row r="80" ht="15.75" customHeight="1">
      <c r="A80" s="6">
        <v>41365.0</v>
      </c>
      <c r="B80" s="7">
        <v>2.0</v>
      </c>
      <c r="C80" s="1" t="s">
        <v>14</v>
      </c>
      <c r="D80" s="1" t="s">
        <v>18</v>
      </c>
      <c r="E80" s="1" t="s">
        <v>17</v>
      </c>
      <c r="F80" s="1" t="s">
        <v>11</v>
      </c>
      <c r="G80" s="4">
        <v>6.0</v>
      </c>
      <c r="H80" s="9">
        <v>284.14</v>
      </c>
      <c r="I80" s="4"/>
      <c r="J80" s="4"/>
      <c r="K80" s="4"/>
      <c r="L80" s="4"/>
      <c r="M80" s="4"/>
      <c r="N80" s="4"/>
      <c r="O80" s="4"/>
      <c r="P80" s="4"/>
      <c r="Q80" s="4"/>
      <c r="R80" s="4"/>
      <c r="S80" s="4"/>
      <c r="T80" s="4"/>
      <c r="U80" s="4"/>
      <c r="V80" s="4"/>
      <c r="W80" s="4"/>
      <c r="X80" s="4"/>
      <c r="Y80" s="4"/>
      <c r="Z80" s="4"/>
      <c r="AA80" s="4"/>
      <c r="AB80" s="4"/>
      <c r="AC80" s="4"/>
      <c r="AD80" s="29"/>
      <c r="AE80" s="9"/>
      <c r="AF80" s="4"/>
      <c r="AG80" s="4"/>
      <c r="AH80" s="4"/>
      <c r="AI80" s="4"/>
      <c r="AJ80" s="4"/>
      <c r="AK80" s="29"/>
      <c r="AL80" s="9"/>
      <c r="AM80" s="4"/>
      <c r="AN80" s="4"/>
    </row>
    <row r="81" ht="15.75" customHeight="1">
      <c r="A81" s="6">
        <v>41365.0</v>
      </c>
      <c r="B81" s="7">
        <v>2.0</v>
      </c>
      <c r="C81" s="1" t="s">
        <v>14</v>
      </c>
      <c r="D81" s="1" t="s">
        <v>9</v>
      </c>
      <c r="E81" s="1" t="s">
        <v>12</v>
      </c>
      <c r="F81" s="1" t="s">
        <v>11</v>
      </c>
      <c r="G81" s="4">
        <v>1.0</v>
      </c>
      <c r="H81" s="9">
        <v>81.14</v>
      </c>
      <c r="I81" s="4"/>
      <c r="J81" s="4"/>
      <c r="K81" s="4"/>
      <c r="L81" s="4"/>
      <c r="M81" s="4"/>
      <c r="N81" s="4"/>
      <c r="O81" s="4"/>
      <c r="P81" s="4"/>
      <c r="Q81" s="4"/>
      <c r="R81" s="4"/>
      <c r="S81" s="4"/>
      <c r="T81" s="4"/>
      <c r="U81" s="4"/>
      <c r="V81" s="4"/>
      <c r="W81" s="4"/>
      <c r="X81" s="4"/>
      <c r="Y81" s="4"/>
      <c r="Z81" s="4"/>
      <c r="AA81" s="4"/>
      <c r="AB81" s="4"/>
      <c r="AC81" s="4"/>
      <c r="AD81" s="29"/>
      <c r="AE81" s="9"/>
      <c r="AF81" s="4"/>
      <c r="AG81" s="4"/>
      <c r="AH81" s="4"/>
      <c r="AI81" s="4"/>
      <c r="AJ81" s="4"/>
      <c r="AK81" s="29"/>
      <c r="AL81" s="9"/>
      <c r="AM81" s="4"/>
      <c r="AN81" s="4"/>
    </row>
    <row r="82" ht="15.75" customHeight="1">
      <c r="A82" s="6">
        <v>41366.0</v>
      </c>
      <c r="B82" s="7">
        <v>3.0</v>
      </c>
      <c r="C82" s="1" t="s">
        <v>8</v>
      </c>
      <c r="D82" s="1" t="s">
        <v>21</v>
      </c>
      <c r="E82" s="1" t="s">
        <v>12</v>
      </c>
      <c r="F82" s="1" t="s">
        <v>11</v>
      </c>
      <c r="G82" s="4">
        <v>3.0</v>
      </c>
      <c r="H82" s="9">
        <v>82.36</v>
      </c>
      <c r="I82" s="4"/>
      <c r="J82" s="4"/>
      <c r="K82" s="4"/>
      <c r="L82" s="4"/>
      <c r="M82" s="4"/>
      <c r="N82" s="4"/>
      <c r="O82" s="4"/>
      <c r="P82" s="4"/>
      <c r="Q82" s="4"/>
      <c r="R82" s="4"/>
      <c r="S82" s="4"/>
      <c r="T82" s="4"/>
      <c r="U82" s="4"/>
      <c r="V82" s="4"/>
      <c r="W82" s="4"/>
      <c r="X82" s="4"/>
      <c r="Y82" s="4"/>
      <c r="Z82" s="4"/>
      <c r="AA82" s="4"/>
      <c r="AB82" s="4"/>
      <c r="AC82" s="4"/>
      <c r="AD82" s="29"/>
      <c r="AE82" s="9"/>
      <c r="AF82" s="4"/>
      <c r="AG82" s="4"/>
      <c r="AH82" s="4"/>
      <c r="AI82" s="4"/>
      <c r="AJ82" s="4"/>
      <c r="AK82" s="29"/>
      <c r="AL82" s="9"/>
      <c r="AM82" s="4"/>
      <c r="AN82" s="4"/>
    </row>
    <row r="83" ht="15.75" customHeight="1">
      <c r="A83" s="6">
        <v>41366.0</v>
      </c>
      <c r="B83" s="7">
        <v>3.0</v>
      </c>
      <c r="C83" s="1" t="s">
        <v>14</v>
      </c>
      <c r="D83" s="1" t="s">
        <v>21</v>
      </c>
      <c r="E83" s="8" t="s">
        <v>12</v>
      </c>
      <c r="F83" s="1" t="s">
        <v>11</v>
      </c>
      <c r="G83" s="4">
        <v>2.0</v>
      </c>
      <c r="H83" s="9">
        <v>32.65</v>
      </c>
      <c r="I83" s="4"/>
      <c r="J83" s="4"/>
      <c r="K83" s="4"/>
      <c r="L83" s="4"/>
      <c r="M83" s="4"/>
      <c r="N83" s="2"/>
      <c r="O83" s="4"/>
      <c r="P83" s="4"/>
      <c r="Q83" s="4"/>
      <c r="R83" s="4"/>
      <c r="S83" s="4"/>
      <c r="T83" s="4"/>
      <c r="U83" s="4"/>
      <c r="V83" s="4"/>
      <c r="W83" s="4"/>
      <c r="X83" s="4"/>
      <c r="Y83" s="4"/>
      <c r="Z83" s="4"/>
      <c r="AA83" s="4"/>
      <c r="AB83" s="4"/>
      <c r="AC83" s="4"/>
      <c r="AD83" s="29"/>
      <c r="AE83" s="9"/>
      <c r="AF83" s="4"/>
      <c r="AG83" s="4"/>
      <c r="AH83" s="4"/>
      <c r="AI83" s="4"/>
      <c r="AJ83" s="4"/>
      <c r="AK83" s="29"/>
      <c r="AL83" s="9"/>
      <c r="AM83" s="4"/>
      <c r="AN83" s="4"/>
    </row>
    <row r="84" ht="15.75" customHeight="1">
      <c r="A84" s="6">
        <v>41366.0</v>
      </c>
      <c r="B84" s="7">
        <v>3.0</v>
      </c>
      <c r="C84" s="1" t="s">
        <v>14</v>
      </c>
      <c r="D84" s="1" t="s">
        <v>18</v>
      </c>
      <c r="E84" s="1" t="s">
        <v>10</v>
      </c>
      <c r="F84" s="1" t="s">
        <v>11</v>
      </c>
      <c r="G84" s="4">
        <v>6.0</v>
      </c>
      <c r="H84" s="9">
        <v>200.7</v>
      </c>
      <c r="I84" s="4"/>
      <c r="J84" s="4"/>
      <c r="K84" s="4"/>
      <c r="L84" s="4"/>
      <c r="M84" s="4"/>
      <c r="N84" s="4"/>
      <c r="O84" s="4"/>
      <c r="P84" s="4"/>
      <c r="Q84" s="4"/>
      <c r="R84" s="4"/>
      <c r="S84" s="4"/>
      <c r="T84" s="4"/>
      <c r="U84" s="4"/>
      <c r="V84" s="4"/>
      <c r="W84" s="4"/>
      <c r="X84" s="4"/>
      <c r="Y84" s="4"/>
      <c r="Z84" s="4"/>
      <c r="AA84" s="4"/>
      <c r="AB84" s="4"/>
      <c r="AC84" s="4"/>
      <c r="AD84" s="29"/>
      <c r="AE84" s="9"/>
      <c r="AF84" s="4"/>
      <c r="AG84" s="4"/>
      <c r="AH84" s="4"/>
      <c r="AI84" s="4"/>
      <c r="AJ84" s="4"/>
      <c r="AK84" s="29"/>
      <c r="AL84" s="9"/>
      <c r="AM84" s="4"/>
      <c r="AN84" s="4"/>
    </row>
    <row r="85" ht="15.75" customHeight="1">
      <c r="A85" s="6">
        <v>41366.0</v>
      </c>
      <c r="B85" s="7">
        <v>3.0</v>
      </c>
      <c r="C85" s="1" t="s">
        <v>14</v>
      </c>
      <c r="D85" s="1" t="s">
        <v>18</v>
      </c>
      <c r="E85" s="1" t="s">
        <v>12</v>
      </c>
      <c r="F85" s="1" t="s">
        <v>11</v>
      </c>
      <c r="G85" s="4">
        <v>3.0</v>
      </c>
      <c r="H85" s="9">
        <v>99.13</v>
      </c>
      <c r="I85" s="4"/>
      <c r="J85" s="4"/>
      <c r="K85" s="4"/>
      <c r="L85" s="4"/>
      <c r="M85" s="4"/>
      <c r="N85" s="4"/>
      <c r="O85" s="4"/>
      <c r="P85" s="4"/>
      <c r="Q85" s="4"/>
      <c r="R85" s="4"/>
      <c r="S85" s="4"/>
      <c r="T85" s="4"/>
      <c r="U85" s="4"/>
      <c r="V85" s="4"/>
      <c r="W85" s="4"/>
      <c r="X85" s="4"/>
      <c r="Y85" s="4"/>
      <c r="Z85" s="4"/>
      <c r="AA85" s="4"/>
      <c r="AB85" s="4"/>
      <c r="AC85" s="4"/>
      <c r="AD85" s="29"/>
      <c r="AE85" s="9"/>
      <c r="AF85" s="4"/>
      <c r="AG85" s="4"/>
      <c r="AH85" s="4"/>
      <c r="AI85" s="4"/>
      <c r="AJ85" s="4"/>
      <c r="AK85" s="29"/>
      <c r="AL85" s="9"/>
      <c r="AM85" s="4"/>
      <c r="AN85" s="4"/>
    </row>
    <row r="86" ht="15.75" customHeight="1">
      <c r="A86" s="6">
        <v>41367.0</v>
      </c>
      <c r="B86" s="7">
        <v>4.0</v>
      </c>
      <c r="C86" s="1" t="s">
        <v>8</v>
      </c>
      <c r="D86" s="1" t="s">
        <v>20</v>
      </c>
      <c r="E86" s="1" t="s">
        <v>10</v>
      </c>
      <c r="F86" s="1" t="s">
        <v>11</v>
      </c>
      <c r="G86" s="4">
        <v>4.0</v>
      </c>
      <c r="H86" s="9">
        <v>85.88</v>
      </c>
      <c r="I86" s="4"/>
      <c r="J86" s="4"/>
      <c r="K86" s="4"/>
      <c r="L86" s="4"/>
      <c r="M86" s="4"/>
      <c r="N86" s="4"/>
      <c r="O86" s="4"/>
      <c r="P86" s="4"/>
      <c r="Q86" s="4"/>
      <c r="R86" s="4"/>
      <c r="S86" s="4"/>
      <c r="T86" s="4"/>
      <c r="U86" s="4"/>
      <c r="V86" s="4"/>
      <c r="W86" s="4"/>
      <c r="X86" s="4"/>
      <c r="Y86" s="4"/>
      <c r="Z86" s="4"/>
      <c r="AA86" s="4"/>
      <c r="AB86" s="4"/>
      <c r="AC86" s="4"/>
      <c r="AD86" s="29"/>
      <c r="AE86" s="9"/>
      <c r="AF86" s="4"/>
      <c r="AG86" s="4"/>
      <c r="AH86" s="4"/>
      <c r="AI86" s="4"/>
      <c r="AJ86" s="4"/>
      <c r="AK86" s="29"/>
      <c r="AL86" s="9"/>
      <c r="AM86" s="4"/>
      <c r="AN86" s="4"/>
    </row>
    <row r="87" ht="15.75" customHeight="1">
      <c r="A87" s="6">
        <v>41367.0</v>
      </c>
      <c r="B87" s="7">
        <v>4.0</v>
      </c>
      <c r="C87" s="1" t="s">
        <v>14</v>
      </c>
      <c r="D87" s="1" t="s">
        <v>20</v>
      </c>
      <c r="E87" s="8" t="s">
        <v>12</v>
      </c>
      <c r="F87" s="1" t="s">
        <v>19</v>
      </c>
      <c r="G87" s="4">
        <v>3.0</v>
      </c>
      <c r="H87" s="9">
        <v>183.52</v>
      </c>
      <c r="I87" s="4"/>
      <c r="J87" s="4"/>
      <c r="K87" s="4"/>
      <c r="L87" s="4"/>
      <c r="M87" s="4"/>
      <c r="N87" s="4"/>
      <c r="O87" s="4"/>
      <c r="P87" s="4"/>
      <c r="Q87" s="4"/>
      <c r="R87" s="4"/>
      <c r="S87" s="4"/>
      <c r="T87" s="4"/>
      <c r="U87" s="4"/>
      <c r="V87" s="4"/>
      <c r="W87" s="4"/>
      <c r="X87" s="4"/>
      <c r="Y87" s="4"/>
      <c r="Z87" s="4"/>
      <c r="AA87" s="4"/>
      <c r="AB87" s="4"/>
      <c r="AC87" s="4"/>
      <c r="AD87" s="29"/>
      <c r="AE87" s="9"/>
      <c r="AF87" s="4"/>
      <c r="AG87" s="4"/>
      <c r="AH87" s="4"/>
      <c r="AI87" s="4"/>
      <c r="AJ87" s="4"/>
      <c r="AK87" s="29"/>
      <c r="AL87" s="9"/>
      <c r="AM87" s="4"/>
      <c r="AN87" s="4"/>
    </row>
    <row r="88" ht="15.75" customHeight="1">
      <c r="A88" s="6">
        <v>41367.0</v>
      </c>
      <c r="B88" s="7">
        <v>4.0</v>
      </c>
      <c r="C88" s="1" t="s">
        <v>14</v>
      </c>
      <c r="D88" s="1" t="s">
        <v>9</v>
      </c>
      <c r="E88" s="1" t="s">
        <v>10</v>
      </c>
      <c r="F88" s="1" t="s">
        <v>11</v>
      </c>
      <c r="G88" s="4">
        <v>2.0</v>
      </c>
      <c r="H88" s="9">
        <v>53.87</v>
      </c>
      <c r="I88" s="4"/>
      <c r="J88" s="4"/>
      <c r="K88" s="4"/>
      <c r="L88" s="4"/>
      <c r="M88" s="4"/>
      <c r="N88" s="4"/>
      <c r="O88" s="4"/>
      <c r="P88" s="4"/>
      <c r="Q88" s="4"/>
      <c r="R88" s="4"/>
      <c r="S88" s="4"/>
      <c r="T88" s="4"/>
      <c r="U88" s="4"/>
      <c r="V88" s="4"/>
      <c r="W88" s="4"/>
      <c r="X88" s="4"/>
      <c r="Y88" s="4"/>
      <c r="Z88" s="4"/>
      <c r="AA88" s="4"/>
      <c r="AB88" s="4"/>
      <c r="AC88" s="4"/>
      <c r="AD88" s="29"/>
      <c r="AE88" s="9"/>
      <c r="AF88" s="4"/>
      <c r="AG88" s="4"/>
      <c r="AH88" s="4"/>
      <c r="AI88" s="4"/>
      <c r="AJ88" s="4"/>
      <c r="AK88" s="29"/>
      <c r="AL88" s="9"/>
      <c r="AM88" s="4"/>
      <c r="AN88" s="4"/>
    </row>
    <row r="89" ht="15.75" customHeight="1">
      <c r="A89" s="6">
        <v>41367.0</v>
      </c>
      <c r="B89" s="7">
        <v>4.0</v>
      </c>
      <c r="C89" s="1" t="s">
        <v>15</v>
      </c>
      <c r="D89" s="1" t="s">
        <v>18</v>
      </c>
      <c r="E89" s="1" t="s">
        <v>12</v>
      </c>
      <c r="F89" s="1" t="s">
        <v>19</v>
      </c>
      <c r="G89" s="4">
        <v>3.0</v>
      </c>
      <c r="H89" s="9">
        <v>44.08</v>
      </c>
      <c r="I89" s="4"/>
      <c r="J89" s="4"/>
      <c r="K89" s="4"/>
      <c r="L89" s="4"/>
      <c r="M89" s="4"/>
      <c r="N89" s="4"/>
      <c r="O89" s="4"/>
      <c r="P89" s="4"/>
      <c r="Q89" s="4"/>
      <c r="R89" s="4"/>
      <c r="S89" s="4"/>
      <c r="T89" s="4"/>
      <c r="U89" s="4"/>
      <c r="V89" s="4"/>
      <c r="W89" s="4"/>
      <c r="X89" s="4"/>
      <c r="Y89" s="4"/>
      <c r="Z89" s="4"/>
      <c r="AA89" s="4"/>
      <c r="AB89" s="4"/>
      <c r="AC89" s="4"/>
      <c r="AD89" s="29"/>
      <c r="AE89" s="9"/>
      <c r="AF89" s="4"/>
      <c r="AG89" s="4"/>
      <c r="AH89" s="4"/>
      <c r="AI89" s="4"/>
      <c r="AJ89" s="4"/>
      <c r="AK89" s="29"/>
      <c r="AL89" s="9"/>
      <c r="AM89" s="4"/>
      <c r="AN89" s="4"/>
    </row>
    <row r="90" ht="15.75" customHeight="1">
      <c r="A90" s="6">
        <v>41368.0</v>
      </c>
      <c r="B90" s="7">
        <v>5.0</v>
      </c>
      <c r="C90" s="1" t="s">
        <v>8</v>
      </c>
      <c r="D90" s="1" t="s">
        <v>21</v>
      </c>
      <c r="E90" s="1" t="s">
        <v>10</v>
      </c>
      <c r="F90" s="1" t="s">
        <v>11</v>
      </c>
      <c r="G90" s="4">
        <v>1.0</v>
      </c>
      <c r="H90" s="9">
        <v>82.34</v>
      </c>
      <c r="I90" s="4"/>
      <c r="J90" s="4"/>
      <c r="K90" s="4"/>
      <c r="L90" s="4"/>
      <c r="M90" s="2" t="s">
        <v>56</v>
      </c>
      <c r="N90" s="53" t="s">
        <v>82</v>
      </c>
      <c r="O90" s="54"/>
      <c r="P90" s="54"/>
      <c r="Q90" s="54"/>
      <c r="R90" s="55"/>
      <c r="S90" s="4"/>
      <c r="T90" s="4"/>
      <c r="U90" s="4"/>
      <c r="V90" s="4"/>
      <c r="W90" s="4"/>
      <c r="X90" s="4"/>
      <c r="Y90" s="4"/>
      <c r="Z90" s="4"/>
      <c r="AA90" s="4"/>
      <c r="AB90" s="4"/>
      <c r="AC90" s="4"/>
      <c r="AD90" s="29"/>
      <c r="AE90" s="9"/>
      <c r="AF90" s="4"/>
      <c r="AG90" s="4"/>
      <c r="AH90" s="4"/>
      <c r="AI90" s="4"/>
      <c r="AJ90" s="4"/>
      <c r="AK90" s="29"/>
      <c r="AL90" s="9"/>
      <c r="AM90" s="4"/>
      <c r="AN90" s="4"/>
    </row>
    <row r="91" ht="15.75" customHeight="1">
      <c r="A91" s="6">
        <v>41368.0</v>
      </c>
      <c r="B91" s="7">
        <v>5.0</v>
      </c>
      <c r="C91" s="1" t="s">
        <v>14</v>
      </c>
      <c r="D91" s="1" t="s">
        <v>20</v>
      </c>
      <c r="E91" s="1" t="s">
        <v>17</v>
      </c>
      <c r="F91" s="1" t="s">
        <v>19</v>
      </c>
      <c r="G91" s="4">
        <v>3.0</v>
      </c>
      <c r="H91" s="9">
        <v>151.29</v>
      </c>
      <c r="I91" s="4"/>
      <c r="J91" s="4"/>
      <c r="K91" s="4"/>
      <c r="L91" s="4"/>
      <c r="M91" s="2" t="s">
        <v>58</v>
      </c>
      <c r="N91" s="53" t="s">
        <v>83</v>
      </c>
      <c r="O91" s="54"/>
      <c r="P91" s="54"/>
      <c r="Q91" s="54"/>
      <c r="R91" s="55"/>
      <c r="S91" s="4"/>
      <c r="T91" s="4"/>
      <c r="U91" s="4"/>
      <c r="V91" s="4"/>
      <c r="W91" s="4"/>
      <c r="X91" s="4"/>
      <c r="Y91" s="4"/>
      <c r="Z91" s="4"/>
      <c r="AA91" s="4"/>
      <c r="AB91" s="4"/>
      <c r="AC91" s="4"/>
      <c r="AD91" s="29"/>
      <c r="AE91" s="9"/>
      <c r="AF91" s="4"/>
      <c r="AG91" s="4"/>
      <c r="AH91" s="4"/>
      <c r="AI91" s="4"/>
      <c r="AJ91" s="4"/>
      <c r="AK91" s="29"/>
      <c r="AL91" s="9"/>
      <c r="AM91" s="4"/>
      <c r="AN91" s="4"/>
    </row>
    <row r="92" ht="15.75" customHeight="1">
      <c r="A92" s="6">
        <v>41369.0</v>
      </c>
      <c r="B92" s="7">
        <v>6.0</v>
      </c>
      <c r="C92" s="1" t="s">
        <v>8</v>
      </c>
      <c r="D92" s="1" t="s">
        <v>18</v>
      </c>
      <c r="E92" s="1" t="s">
        <v>10</v>
      </c>
      <c r="F92" s="1" t="s">
        <v>19</v>
      </c>
      <c r="G92" s="4">
        <v>5.0</v>
      </c>
      <c r="H92" s="9">
        <v>87.02</v>
      </c>
      <c r="I92" s="4"/>
      <c r="J92" s="4"/>
      <c r="K92" s="4"/>
      <c r="L92" s="4"/>
      <c r="M92" s="4"/>
      <c r="N92" s="4"/>
      <c r="O92" s="4"/>
      <c r="P92" s="4"/>
      <c r="Q92" s="4"/>
      <c r="R92" s="4"/>
      <c r="S92" s="4"/>
      <c r="T92" s="4"/>
      <c r="U92" s="4"/>
      <c r="V92" s="4"/>
      <c r="W92" s="4"/>
      <c r="X92" s="4"/>
      <c r="Y92" s="4"/>
      <c r="Z92" s="4"/>
      <c r="AA92" s="4"/>
      <c r="AB92" s="4"/>
      <c r="AC92" s="4"/>
      <c r="AD92" s="29"/>
      <c r="AE92" s="9"/>
      <c r="AF92" s="4"/>
      <c r="AG92" s="4"/>
      <c r="AH92" s="4"/>
      <c r="AI92" s="4"/>
      <c r="AJ92" s="4"/>
      <c r="AK92" s="29"/>
      <c r="AL92" s="9"/>
      <c r="AM92" s="4"/>
      <c r="AN92" s="4"/>
    </row>
    <row r="93" ht="15.75" customHeight="1">
      <c r="A93" s="6">
        <v>41369.0</v>
      </c>
      <c r="B93" s="7">
        <v>6.0</v>
      </c>
      <c r="C93" s="1" t="s">
        <v>14</v>
      </c>
      <c r="D93" s="1" t="s">
        <v>21</v>
      </c>
      <c r="E93" s="1" t="s">
        <v>10</v>
      </c>
      <c r="F93" s="1" t="s">
        <v>19</v>
      </c>
      <c r="G93" s="4">
        <v>2.0</v>
      </c>
      <c r="H93" s="9">
        <v>54.96</v>
      </c>
      <c r="I93" s="4"/>
      <c r="J93" s="4"/>
      <c r="K93" s="4"/>
      <c r="L93" s="4"/>
      <c r="M93" s="4"/>
      <c r="N93" s="4"/>
      <c r="O93" s="4"/>
      <c r="P93" s="4"/>
      <c r="Q93" s="4"/>
      <c r="R93" s="4"/>
      <c r="S93" s="4"/>
      <c r="T93" s="4"/>
      <c r="U93" s="4"/>
      <c r="V93" s="4"/>
      <c r="W93" s="4"/>
      <c r="X93" s="4"/>
      <c r="Y93" s="4"/>
      <c r="Z93" s="4"/>
      <c r="AA93" s="4"/>
      <c r="AB93" s="4"/>
      <c r="AC93" s="4"/>
      <c r="AD93" s="29"/>
      <c r="AE93" s="9"/>
      <c r="AF93" s="4"/>
      <c r="AG93" s="4"/>
      <c r="AH93" s="4"/>
      <c r="AI93" s="4"/>
      <c r="AJ93" s="4"/>
      <c r="AK93" s="29"/>
      <c r="AL93" s="9"/>
      <c r="AM93" s="4"/>
      <c r="AN93" s="4"/>
    </row>
    <row r="94" ht="15.75" customHeight="1">
      <c r="A94" s="6">
        <v>41369.0</v>
      </c>
      <c r="B94" s="7">
        <v>6.0</v>
      </c>
      <c r="C94" s="1" t="s">
        <v>14</v>
      </c>
      <c r="D94" s="1" t="s">
        <v>21</v>
      </c>
      <c r="E94" s="1" t="s">
        <v>12</v>
      </c>
      <c r="F94" s="1" t="s">
        <v>11</v>
      </c>
      <c r="G94" s="4">
        <v>1.0</v>
      </c>
      <c r="H94" s="9">
        <v>65.11</v>
      </c>
      <c r="I94" s="4"/>
      <c r="J94" s="4"/>
      <c r="K94" s="4"/>
      <c r="L94" s="4"/>
      <c r="M94" s="4"/>
      <c r="N94" s="2" t="s">
        <v>59</v>
      </c>
      <c r="O94" s="20" t="s">
        <v>37</v>
      </c>
      <c r="P94" s="4"/>
      <c r="Q94" s="4"/>
      <c r="R94" s="4"/>
      <c r="S94" s="2" t="s">
        <v>84</v>
      </c>
      <c r="T94" s="20" t="s">
        <v>41</v>
      </c>
      <c r="U94" s="4"/>
      <c r="V94" s="4"/>
      <c r="W94" s="4"/>
      <c r="X94" s="4"/>
      <c r="Y94" s="4"/>
      <c r="Z94" s="4"/>
      <c r="AA94" s="4"/>
      <c r="AB94" s="4"/>
      <c r="AC94" s="4"/>
      <c r="AD94" s="29"/>
      <c r="AE94" s="9"/>
      <c r="AF94" s="4"/>
      <c r="AG94" s="4"/>
      <c r="AH94" s="4"/>
      <c r="AI94" s="4"/>
      <c r="AJ94" s="4"/>
      <c r="AK94" s="29"/>
      <c r="AL94" s="9"/>
      <c r="AM94" s="4"/>
      <c r="AN94" s="4"/>
    </row>
    <row r="95" ht="15.75" customHeight="1">
      <c r="A95" s="6">
        <v>41369.0</v>
      </c>
      <c r="B95" s="7">
        <v>6.0</v>
      </c>
      <c r="C95" s="1" t="s">
        <v>14</v>
      </c>
      <c r="D95" s="1" t="s">
        <v>18</v>
      </c>
      <c r="E95" s="1" t="s">
        <v>12</v>
      </c>
      <c r="F95" s="1" t="s">
        <v>11</v>
      </c>
      <c r="G95" s="4">
        <v>3.0</v>
      </c>
      <c r="H95" s="9">
        <v>76.69</v>
      </c>
      <c r="I95" s="4"/>
      <c r="J95" s="4"/>
      <c r="K95" s="4"/>
      <c r="L95" s="4"/>
      <c r="M95" s="4"/>
      <c r="N95" s="2"/>
      <c r="O95" s="4"/>
      <c r="P95" s="4"/>
      <c r="Q95" s="4"/>
      <c r="R95" s="4"/>
      <c r="S95" s="2"/>
      <c r="T95" s="4"/>
      <c r="U95" s="4"/>
      <c r="V95" s="4"/>
      <c r="W95" s="4"/>
      <c r="X95" s="4"/>
      <c r="Y95" s="4"/>
      <c r="Z95" s="4"/>
      <c r="AA95" s="4"/>
      <c r="AB95" s="4"/>
      <c r="AC95" s="4"/>
      <c r="AD95" s="29"/>
      <c r="AE95" s="9"/>
      <c r="AF95" s="4"/>
      <c r="AG95" s="4"/>
      <c r="AH95" s="4"/>
      <c r="AI95" s="4"/>
      <c r="AJ95" s="4"/>
      <c r="AK95" s="29"/>
      <c r="AL95" s="9"/>
      <c r="AM95" s="4"/>
      <c r="AN95" s="4"/>
    </row>
    <row r="96" ht="15.75" customHeight="1">
      <c r="A96" s="6">
        <v>41369.0</v>
      </c>
      <c r="B96" s="7">
        <v>6.0</v>
      </c>
      <c r="C96" s="1" t="s">
        <v>15</v>
      </c>
      <c r="D96" s="1" t="s">
        <v>18</v>
      </c>
      <c r="E96" s="1" t="s">
        <v>10</v>
      </c>
      <c r="F96" s="1" t="s">
        <v>11</v>
      </c>
      <c r="G96" s="4">
        <v>2.0</v>
      </c>
      <c r="H96" s="9">
        <v>48.38</v>
      </c>
      <c r="I96" s="4"/>
      <c r="J96" s="4"/>
      <c r="K96" s="4"/>
      <c r="L96" s="4"/>
      <c r="M96" s="4"/>
      <c r="N96" s="2"/>
      <c r="O96" s="4"/>
      <c r="P96" s="4"/>
      <c r="Q96" s="4"/>
      <c r="R96" s="4"/>
      <c r="S96" s="2"/>
      <c r="T96" s="4"/>
      <c r="U96" s="4"/>
      <c r="V96" s="4"/>
      <c r="W96" s="4"/>
      <c r="X96" s="4"/>
      <c r="Y96" s="4"/>
      <c r="Z96" s="4"/>
      <c r="AA96" s="4"/>
      <c r="AB96" s="4"/>
      <c r="AC96" s="4"/>
      <c r="AD96" s="29"/>
      <c r="AE96" s="9"/>
      <c r="AF96" s="4"/>
      <c r="AG96" s="4"/>
      <c r="AH96" s="4"/>
      <c r="AI96" s="4"/>
      <c r="AJ96" s="4"/>
      <c r="AK96" s="29"/>
      <c r="AL96" s="9"/>
      <c r="AM96" s="4"/>
      <c r="AN96" s="4"/>
    </row>
    <row r="97" ht="15.0" customHeight="1">
      <c r="A97" s="6">
        <v>41370.0</v>
      </c>
      <c r="B97" s="7">
        <v>7.0</v>
      </c>
      <c r="C97" s="1" t="s">
        <v>8</v>
      </c>
      <c r="D97" s="1" t="s">
        <v>18</v>
      </c>
      <c r="E97" s="1" t="s">
        <v>17</v>
      </c>
      <c r="F97" s="1" t="s">
        <v>11</v>
      </c>
      <c r="G97" s="4">
        <v>5.0</v>
      </c>
      <c r="H97" s="9">
        <v>76.64</v>
      </c>
      <c r="I97" s="4"/>
      <c r="J97" s="4"/>
      <c r="K97" s="4"/>
      <c r="L97" s="4"/>
      <c r="M97" s="4"/>
      <c r="N97" s="2"/>
      <c r="O97" s="4"/>
      <c r="P97" s="4"/>
      <c r="Q97" s="4"/>
      <c r="R97" s="4"/>
      <c r="S97" s="2"/>
      <c r="T97" s="4"/>
      <c r="U97" s="4"/>
      <c r="V97" s="4"/>
      <c r="W97" s="4"/>
      <c r="X97" s="4"/>
      <c r="Y97" s="4"/>
      <c r="Z97" s="4"/>
      <c r="AA97" s="4"/>
      <c r="AB97" s="4"/>
      <c r="AC97" s="4"/>
      <c r="AD97" s="29"/>
      <c r="AE97" s="9"/>
      <c r="AF97" s="4"/>
      <c r="AG97" s="4"/>
      <c r="AH97" s="4"/>
      <c r="AI97" s="4"/>
      <c r="AJ97" s="4"/>
      <c r="AK97" s="29"/>
      <c r="AL97" s="9"/>
      <c r="AM97" s="4"/>
      <c r="AN97" s="4"/>
    </row>
    <row r="98" ht="15.75" customHeight="1">
      <c r="A98" s="6">
        <v>41370.0</v>
      </c>
      <c r="B98" s="7">
        <v>7.0</v>
      </c>
      <c r="C98" s="1" t="s">
        <v>14</v>
      </c>
      <c r="D98" s="1" t="s">
        <v>18</v>
      </c>
      <c r="E98" s="1" t="s">
        <v>10</v>
      </c>
      <c r="F98" s="1" t="s">
        <v>11</v>
      </c>
      <c r="G98" s="4">
        <v>2.0</v>
      </c>
      <c r="H98" s="9">
        <v>54.08</v>
      </c>
      <c r="I98" s="4"/>
      <c r="J98" s="4"/>
      <c r="K98" s="4"/>
      <c r="L98" s="4"/>
      <c r="M98" s="4"/>
      <c r="N98" s="2"/>
      <c r="O98" s="4"/>
      <c r="P98" s="4"/>
      <c r="Q98" s="4"/>
      <c r="R98" s="4"/>
      <c r="S98" s="2"/>
      <c r="T98" s="4"/>
      <c r="U98" s="4"/>
      <c r="V98" s="4"/>
      <c r="W98" s="4"/>
      <c r="X98" s="4"/>
      <c r="Y98" s="4"/>
      <c r="Z98" s="4"/>
      <c r="AA98" s="4"/>
      <c r="AB98" s="4"/>
      <c r="AC98" s="4"/>
      <c r="AD98" s="29"/>
      <c r="AE98" s="9"/>
      <c r="AF98" s="4"/>
      <c r="AG98" s="4"/>
      <c r="AH98" s="4"/>
      <c r="AI98" s="4"/>
      <c r="AJ98" s="4"/>
      <c r="AK98" s="29"/>
      <c r="AL98" s="9"/>
      <c r="AM98" s="4"/>
      <c r="AN98" s="4"/>
    </row>
    <row r="99" ht="15.75" customHeight="1">
      <c r="A99" s="6">
        <v>41370.0</v>
      </c>
      <c r="B99" s="7">
        <v>7.0</v>
      </c>
      <c r="C99" s="1" t="s">
        <v>14</v>
      </c>
      <c r="D99" s="1" t="s">
        <v>20</v>
      </c>
      <c r="E99" s="1" t="s">
        <v>12</v>
      </c>
      <c r="F99" s="1" t="s">
        <v>11</v>
      </c>
      <c r="G99" s="4">
        <v>3.0</v>
      </c>
      <c r="H99" s="9">
        <v>130.0</v>
      </c>
      <c r="I99" s="4"/>
      <c r="J99" s="4"/>
      <c r="K99" s="4"/>
      <c r="L99" s="4"/>
      <c r="M99" s="4"/>
      <c r="N99" s="2"/>
      <c r="O99" s="4"/>
      <c r="P99" s="4"/>
      <c r="Q99" s="4"/>
      <c r="R99" s="4"/>
      <c r="S99" s="2"/>
      <c r="T99" s="4"/>
      <c r="U99" s="4"/>
      <c r="V99" s="4"/>
      <c r="W99" s="4"/>
      <c r="X99" s="4"/>
      <c r="Y99" s="4"/>
      <c r="Z99" s="4"/>
      <c r="AA99" s="4"/>
      <c r="AB99" s="4"/>
      <c r="AC99" s="4"/>
      <c r="AD99" s="29"/>
      <c r="AE99" s="9"/>
      <c r="AF99" s="4"/>
      <c r="AG99" s="4"/>
      <c r="AH99" s="4"/>
      <c r="AI99" s="4"/>
      <c r="AJ99" s="4"/>
      <c r="AK99" s="29"/>
      <c r="AL99" s="9"/>
      <c r="AM99" s="4"/>
      <c r="AN99" s="4"/>
    </row>
    <row r="100" ht="15.75" customHeight="1">
      <c r="A100" s="6">
        <v>41370.0</v>
      </c>
      <c r="B100" s="7">
        <v>7.0</v>
      </c>
      <c r="C100" s="1" t="s">
        <v>15</v>
      </c>
      <c r="D100" s="1" t="s">
        <v>21</v>
      </c>
      <c r="E100" s="8" t="s">
        <v>12</v>
      </c>
      <c r="F100" s="1" t="s">
        <v>11</v>
      </c>
      <c r="G100" s="4">
        <v>4.0</v>
      </c>
      <c r="H100" s="9">
        <v>218.29</v>
      </c>
      <c r="I100" s="4"/>
      <c r="J100" s="4"/>
      <c r="K100" s="4"/>
      <c r="L100" s="4"/>
      <c r="M100" s="56" t="s">
        <v>85</v>
      </c>
      <c r="N100" s="57" t="s">
        <v>14</v>
      </c>
      <c r="O100" s="57" t="s">
        <v>15</v>
      </c>
      <c r="P100" s="57" t="s">
        <v>8</v>
      </c>
      <c r="Q100" s="58" t="s">
        <v>16</v>
      </c>
      <c r="R100" s="59" t="s">
        <v>86</v>
      </c>
      <c r="S100" s="4"/>
      <c r="Y100" s="4"/>
      <c r="Z100" s="4"/>
      <c r="AA100" s="4"/>
      <c r="AB100" s="4"/>
      <c r="AC100" s="4"/>
      <c r="AD100" s="29"/>
      <c r="AE100" s="9"/>
      <c r="AF100" s="4"/>
      <c r="AG100" s="4"/>
      <c r="AH100" s="4"/>
      <c r="AI100" s="4"/>
      <c r="AJ100" s="4"/>
      <c r="AK100" s="29"/>
      <c r="AL100" s="9"/>
      <c r="AM100" s="4"/>
      <c r="AN100" s="4"/>
    </row>
    <row r="101" ht="15.75" customHeight="1">
      <c r="A101" s="6">
        <v>41371.0</v>
      </c>
      <c r="B101" s="7">
        <v>1.0</v>
      </c>
      <c r="C101" s="1" t="s">
        <v>15</v>
      </c>
      <c r="D101" s="1" t="s">
        <v>9</v>
      </c>
      <c r="E101" s="1" t="s">
        <v>10</v>
      </c>
      <c r="F101" s="1" t="s">
        <v>19</v>
      </c>
      <c r="G101" s="4">
        <v>1.0</v>
      </c>
      <c r="H101" s="9">
        <v>38.1</v>
      </c>
      <c r="I101" s="4"/>
      <c r="J101" s="4"/>
      <c r="K101" s="4"/>
      <c r="L101" s="4"/>
      <c r="M101" s="60" t="s">
        <v>17</v>
      </c>
      <c r="N101" s="10">
        <v>12.0</v>
      </c>
      <c r="O101" s="10">
        <v>7.0</v>
      </c>
      <c r="P101" s="10">
        <v>4.0</v>
      </c>
      <c r="Q101" s="61">
        <v>23.0</v>
      </c>
      <c r="S101" s="4"/>
      <c r="Y101" s="4"/>
      <c r="Z101" s="4"/>
      <c r="AA101" s="4"/>
      <c r="AB101" s="4"/>
      <c r="AC101" s="4"/>
      <c r="AD101" s="29"/>
      <c r="AE101" s="9"/>
      <c r="AF101" s="4"/>
      <c r="AG101" s="4"/>
      <c r="AH101" s="4"/>
      <c r="AI101" s="4"/>
      <c r="AJ101" s="4"/>
      <c r="AK101" s="29"/>
      <c r="AL101" s="9"/>
      <c r="AM101" s="4"/>
      <c r="AN101" s="4"/>
    </row>
    <row r="102" ht="15.75" customHeight="1">
      <c r="A102" s="6">
        <v>41372.0</v>
      </c>
      <c r="B102" s="7">
        <v>2.0</v>
      </c>
      <c r="C102" s="1" t="s">
        <v>8</v>
      </c>
      <c r="D102" s="1" t="s">
        <v>18</v>
      </c>
      <c r="E102" s="1" t="s">
        <v>10</v>
      </c>
      <c r="F102" s="1" t="s">
        <v>19</v>
      </c>
      <c r="G102" s="4">
        <v>4.0</v>
      </c>
      <c r="H102" s="9">
        <v>100.02</v>
      </c>
      <c r="I102" s="4"/>
      <c r="J102" s="4"/>
      <c r="K102" s="4"/>
      <c r="L102" s="4"/>
      <c r="M102" s="60" t="s">
        <v>12</v>
      </c>
      <c r="N102" s="10">
        <v>12.0</v>
      </c>
      <c r="O102" s="10">
        <v>14.0</v>
      </c>
      <c r="P102" s="10">
        <v>19.0</v>
      </c>
      <c r="Q102" s="61">
        <v>45.0</v>
      </c>
      <c r="S102" s="4"/>
      <c r="Y102" s="4"/>
      <c r="Z102" s="4"/>
      <c r="AA102" s="4"/>
      <c r="AB102" s="4"/>
      <c r="AC102" s="4"/>
      <c r="AD102" s="29"/>
      <c r="AE102" s="9"/>
      <c r="AF102" s="4"/>
      <c r="AG102" s="4"/>
      <c r="AH102" s="4"/>
      <c r="AI102" s="4"/>
      <c r="AJ102" s="4"/>
      <c r="AK102" s="29"/>
      <c r="AL102" s="9"/>
      <c r="AM102" s="4"/>
      <c r="AN102" s="4"/>
    </row>
    <row r="103" ht="15.75" customHeight="1">
      <c r="A103" s="6">
        <v>41372.0</v>
      </c>
      <c r="B103" s="7">
        <v>2.0</v>
      </c>
      <c r="C103" s="1" t="s">
        <v>8</v>
      </c>
      <c r="D103" s="1" t="s">
        <v>9</v>
      </c>
      <c r="E103" s="8" t="s">
        <v>17</v>
      </c>
      <c r="F103" s="1" t="s">
        <v>11</v>
      </c>
      <c r="G103" s="4">
        <v>4.0</v>
      </c>
      <c r="H103" s="9">
        <v>248.73</v>
      </c>
      <c r="I103" s="4"/>
      <c r="J103" s="4"/>
      <c r="K103" s="4"/>
      <c r="L103" s="4"/>
      <c r="M103" s="60" t="s">
        <v>10</v>
      </c>
      <c r="N103" s="10">
        <v>24.0</v>
      </c>
      <c r="O103" s="10">
        <v>13.0</v>
      </c>
      <c r="P103" s="10">
        <v>10.0</v>
      </c>
      <c r="Q103" s="61">
        <v>47.0</v>
      </c>
      <c r="S103" s="4"/>
      <c r="Y103" s="4"/>
      <c r="Z103" s="4"/>
      <c r="AA103" s="4"/>
      <c r="AB103" s="4"/>
      <c r="AC103" s="4"/>
      <c r="AD103" s="29"/>
      <c r="AE103" s="9"/>
      <c r="AF103" s="4"/>
      <c r="AG103" s="4"/>
      <c r="AH103" s="4"/>
      <c r="AI103" s="4"/>
      <c r="AJ103" s="4"/>
      <c r="AK103" s="29"/>
      <c r="AL103" s="9"/>
      <c r="AM103" s="4"/>
      <c r="AN103" s="4"/>
    </row>
    <row r="104" ht="15.0" customHeight="1">
      <c r="A104" s="6">
        <v>41372.0</v>
      </c>
      <c r="B104" s="7">
        <v>2.0</v>
      </c>
      <c r="C104" s="1" t="s">
        <v>8</v>
      </c>
      <c r="D104" s="1" t="s">
        <v>9</v>
      </c>
      <c r="E104" s="1" t="s">
        <v>12</v>
      </c>
      <c r="F104" s="1" t="s">
        <v>11</v>
      </c>
      <c r="G104" s="4">
        <v>2.0</v>
      </c>
      <c r="H104" s="9">
        <v>25.8</v>
      </c>
      <c r="I104" s="4"/>
      <c r="J104" s="4"/>
      <c r="K104" s="4"/>
      <c r="L104" s="4"/>
      <c r="M104" s="62" t="s">
        <v>16</v>
      </c>
      <c r="N104" s="63">
        <v>48.0</v>
      </c>
      <c r="O104" s="63">
        <v>34.0</v>
      </c>
      <c r="P104" s="63">
        <v>33.0</v>
      </c>
      <c r="Q104" s="64">
        <v>115.0</v>
      </c>
      <c r="S104" s="4"/>
      <c r="Y104" s="4"/>
      <c r="Z104" s="4"/>
      <c r="AA104" s="4"/>
      <c r="AB104" s="4"/>
      <c r="AC104" s="4"/>
      <c r="AD104" s="29"/>
      <c r="AE104" s="9"/>
      <c r="AF104" s="4"/>
      <c r="AG104" s="4"/>
      <c r="AH104" s="4"/>
      <c r="AI104" s="4"/>
      <c r="AJ104" s="4"/>
      <c r="AK104" s="29"/>
      <c r="AL104" s="9"/>
      <c r="AM104" s="4"/>
      <c r="AN104" s="4"/>
    </row>
    <row r="105" ht="15.75" customHeight="1">
      <c r="A105" s="6">
        <v>41372.0</v>
      </c>
      <c r="B105" s="7">
        <v>2.0</v>
      </c>
      <c r="C105" s="1" t="s">
        <v>15</v>
      </c>
      <c r="D105" s="1" t="s">
        <v>21</v>
      </c>
      <c r="E105" s="1" t="s">
        <v>17</v>
      </c>
      <c r="F105" s="1" t="s">
        <v>19</v>
      </c>
      <c r="G105" s="4">
        <v>1.0</v>
      </c>
      <c r="H105" s="9">
        <v>52.83</v>
      </c>
      <c r="I105" s="4"/>
      <c r="J105" s="4"/>
      <c r="K105" s="4"/>
      <c r="L105" s="4"/>
      <c r="Y105" s="4"/>
      <c r="Z105" s="4"/>
      <c r="AA105" s="4"/>
      <c r="AB105" s="4"/>
      <c r="AC105" s="4"/>
      <c r="AD105" s="29"/>
      <c r="AE105" s="9"/>
      <c r="AF105" s="4"/>
      <c r="AG105" s="4"/>
      <c r="AH105" s="4"/>
      <c r="AI105" s="4"/>
      <c r="AJ105" s="4"/>
      <c r="AK105" s="29"/>
      <c r="AL105" s="9"/>
      <c r="AM105" s="4"/>
      <c r="AN105" s="4"/>
    </row>
    <row r="106" ht="15.75" customHeight="1">
      <c r="A106" s="6">
        <v>41373.0</v>
      </c>
      <c r="B106" s="7">
        <v>3.0</v>
      </c>
      <c r="C106" s="1" t="s">
        <v>8</v>
      </c>
      <c r="D106" s="1" t="s">
        <v>9</v>
      </c>
      <c r="E106" s="1" t="s">
        <v>10</v>
      </c>
      <c r="F106" s="1" t="s">
        <v>19</v>
      </c>
      <c r="G106" s="4">
        <v>3.0</v>
      </c>
      <c r="H106" s="9">
        <v>131.89</v>
      </c>
      <c r="I106" s="4"/>
      <c r="J106" s="4"/>
      <c r="K106" s="4"/>
      <c r="L106" s="4"/>
      <c r="U106" s="4"/>
      <c r="V106" s="4"/>
      <c r="W106" s="4"/>
      <c r="X106" s="4"/>
      <c r="Y106" s="4"/>
      <c r="Z106" s="4"/>
      <c r="AA106" s="4"/>
      <c r="AB106" s="4"/>
      <c r="AC106" s="4"/>
      <c r="AD106" s="29"/>
      <c r="AE106" s="9"/>
      <c r="AF106" s="4"/>
      <c r="AG106" s="4"/>
      <c r="AH106" s="4"/>
      <c r="AI106" s="4"/>
      <c r="AJ106" s="4"/>
      <c r="AK106" s="29"/>
      <c r="AL106" s="9"/>
      <c r="AM106" s="4"/>
      <c r="AN106" s="4"/>
    </row>
    <row r="107" ht="15.75" customHeight="1">
      <c r="A107" s="6">
        <v>41373.0</v>
      </c>
      <c r="B107" s="7">
        <v>3.0</v>
      </c>
      <c r="C107" s="1" t="s">
        <v>8</v>
      </c>
      <c r="D107" s="1" t="s">
        <v>18</v>
      </c>
      <c r="E107" s="1" t="s">
        <v>12</v>
      </c>
      <c r="F107" s="1" t="s">
        <v>19</v>
      </c>
      <c r="G107" s="4">
        <v>3.0</v>
      </c>
      <c r="H107" s="9">
        <v>82.69</v>
      </c>
      <c r="I107" s="4"/>
      <c r="J107" s="4"/>
      <c r="K107" s="4"/>
      <c r="L107" s="4"/>
      <c r="M107" s="56" t="s">
        <v>85</v>
      </c>
      <c r="N107" s="57" t="s">
        <v>14</v>
      </c>
      <c r="O107" s="57" t="s">
        <v>15</v>
      </c>
      <c r="P107" s="57" t="s">
        <v>8</v>
      </c>
      <c r="Q107" s="58" t="s">
        <v>16</v>
      </c>
      <c r="R107" s="59" t="s">
        <v>87</v>
      </c>
      <c r="S107" s="4"/>
      <c r="T107" s="4"/>
      <c r="U107" s="4"/>
      <c r="V107" s="4"/>
      <c r="W107" s="4"/>
      <c r="X107" s="4"/>
      <c r="Y107" s="4"/>
      <c r="Z107" s="4"/>
      <c r="AA107" s="4"/>
      <c r="AB107" s="4"/>
      <c r="AC107" s="4"/>
      <c r="AD107" s="29"/>
      <c r="AE107" s="9"/>
      <c r="AF107" s="4"/>
      <c r="AG107" s="4"/>
      <c r="AH107" s="4"/>
      <c r="AI107" s="4"/>
      <c r="AJ107" s="4"/>
      <c r="AK107" s="29"/>
      <c r="AL107" s="9"/>
      <c r="AM107" s="4"/>
      <c r="AN107" s="4"/>
    </row>
    <row r="108" ht="15.75" customHeight="1">
      <c r="A108" s="6">
        <v>41373.0</v>
      </c>
      <c r="B108" s="7">
        <v>3.0</v>
      </c>
      <c r="C108" s="1" t="s">
        <v>8</v>
      </c>
      <c r="D108" s="1" t="s">
        <v>9</v>
      </c>
      <c r="E108" s="1" t="s">
        <v>12</v>
      </c>
      <c r="F108" s="1" t="s">
        <v>19</v>
      </c>
      <c r="G108" s="4">
        <v>1.0</v>
      </c>
      <c r="H108" s="9">
        <v>70.03</v>
      </c>
      <c r="I108" s="4"/>
      <c r="J108" s="4"/>
      <c r="K108" s="4"/>
      <c r="L108" s="4"/>
      <c r="M108" s="60" t="s">
        <v>17</v>
      </c>
      <c r="N108" s="10">
        <f t="shared" ref="N108:P108" si="1">($Q101*N$104)/$Q$104</f>
        <v>9.6</v>
      </c>
      <c r="O108" s="10">
        <f t="shared" si="1"/>
        <v>6.8</v>
      </c>
      <c r="P108" s="10">
        <f t="shared" si="1"/>
        <v>6.6</v>
      </c>
      <c r="Q108" s="33">
        <f t="shared" ref="Q108:Q111" si="3">SUM(N108:P108)</f>
        <v>23</v>
      </c>
      <c r="S108" s="4"/>
      <c r="T108" s="4"/>
      <c r="U108" s="4"/>
      <c r="V108" s="4"/>
      <c r="W108" s="4"/>
      <c r="X108" s="4"/>
      <c r="Y108" s="4"/>
      <c r="Z108" s="4"/>
      <c r="AA108" s="4"/>
      <c r="AB108" s="4"/>
      <c r="AC108" s="4"/>
      <c r="AD108" s="29"/>
      <c r="AE108" s="9"/>
      <c r="AF108" s="4"/>
      <c r="AG108" s="4"/>
      <c r="AH108" s="4"/>
      <c r="AI108" s="4"/>
      <c r="AJ108" s="4"/>
      <c r="AK108" s="29"/>
      <c r="AL108" s="9"/>
      <c r="AM108" s="4"/>
      <c r="AN108" s="4"/>
    </row>
    <row r="109" ht="15.75" customHeight="1">
      <c r="A109" s="6">
        <v>41373.0</v>
      </c>
      <c r="B109" s="7">
        <v>3.0</v>
      </c>
      <c r="C109" s="1" t="s">
        <v>8</v>
      </c>
      <c r="D109" s="1" t="s">
        <v>18</v>
      </c>
      <c r="E109" s="8" t="s">
        <v>12</v>
      </c>
      <c r="F109" s="1" t="s">
        <v>11</v>
      </c>
      <c r="G109" s="4">
        <v>1.0</v>
      </c>
      <c r="H109" s="9">
        <v>102.86</v>
      </c>
      <c r="I109" s="4"/>
      <c r="J109" s="4"/>
      <c r="K109" s="4"/>
      <c r="L109" s="4"/>
      <c r="M109" s="60" t="s">
        <v>12</v>
      </c>
      <c r="N109" s="10">
        <f t="shared" ref="N109:N110" si="4">($Q102*$N$104)/$Q$104</f>
        <v>18.7826087</v>
      </c>
      <c r="O109" s="10">
        <f t="shared" ref="O109:P109" si="2">($Q102*O$104)/$Q$104</f>
        <v>13.30434783</v>
      </c>
      <c r="P109" s="10">
        <f t="shared" si="2"/>
        <v>12.91304348</v>
      </c>
      <c r="Q109" s="33">
        <f t="shared" si="3"/>
        <v>45</v>
      </c>
      <c r="S109" s="4"/>
      <c r="T109" s="4"/>
      <c r="U109" s="4"/>
      <c r="V109" s="4"/>
      <c r="W109" s="4"/>
      <c r="X109" s="4"/>
      <c r="Y109" s="4"/>
      <c r="Z109" s="4"/>
      <c r="AA109" s="4"/>
      <c r="AB109" s="4"/>
      <c r="AC109" s="4"/>
      <c r="AD109" s="29"/>
      <c r="AE109" s="9"/>
      <c r="AF109" s="4"/>
      <c r="AG109" s="4"/>
      <c r="AH109" s="4"/>
      <c r="AI109" s="4"/>
      <c r="AJ109" s="4"/>
      <c r="AK109" s="29"/>
      <c r="AL109" s="9"/>
      <c r="AM109" s="4"/>
      <c r="AN109" s="4"/>
    </row>
    <row r="110" ht="15.75" customHeight="1">
      <c r="A110" s="6">
        <v>41373.0</v>
      </c>
      <c r="B110" s="7">
        <v>3.0</v>
      </c>
      <c r="C110" s="1" t="s">
        <v>8</v>
      </c>
      <c r="D110" s="1" t="s">
        <v>9</v>
      </c>
      <c r="E110" s="1" t="s">
        <v>17</v>
      </c>
      <c r="F110" s="1" t="s">
        <v>19</v>
      </c>
      <c r="G110" s="4">
        <v>4.0</v>
      </c>
      <c r="H110" s="9">
        <v>174.13</v>
      </c>
      <c r="I110" s="4"/>
      <c r="J110" s="4"/>
      <c r="K110" s="4"/>
      <c r="L110" s="4"/>
      <c r="M110" s="60" t="s">
        <v>10</v>
      </c>
      <c r="N110" s="10">
        <f t="shared" si="4"/>
        <v>19.6173913</v>
      </c>
      <c r="O110" s="10">
        <f t="shared" ref="O110:P110" si="5">($Q103*O$104)/$Q$104</f>
        <v>13.89565217</v>
      </c>
      <c r="P110" s="10">
        <f t="shared" si="5"/>
        <v>13.48695652</v>
      </c>
      <c r="Q110" s="33">
        <f t="shared" si="3"/>
        <v>47</v>
      </c>
      <c r="S110" s="4"/>
      <c r="T110" s="4"/>
      <c r="U110" s="4"/>
      <c r="V110" s="4"/>
      <c r="W110" s="4"/>
      <c r="X110" s="4"/>
      <c r="Y110" s="4"/>
      <c r="Z110" s="4"/>
      <c r="AA110" s="4"/>
      <c r="AB110" s="4"/>
      <c r="AC110" s="4"/>
      <c r="AD110" s="29"/>
      <c r="AE110" s="9"/>
      <c r="AF110" s="4"/>
      <c r="AG110" s="4"/>
      <c r="AH110" s="4"/>
      <c r="AI110" s="4"/>
      <c r="AJ110" s="4"/>
      <c r="AK110" s="29"/>
      <c r="AL110" s="9"/>
      <c r="AM110" s="4"/>
      <c r="AN110" s="4"/>
    </row>
    <row r="111" ht="15.75" customHeight="1">
      <c r="A111" s="6">
        <v>41374.0</v>
      </c>
      <c r="B111" s="7">
        <v>4.0</v>
      </c>
      <c r="C111" s="1" t="s">
        <v>8</v>
      </c>
      <c r="D111" s="1" t="s">
        <v>20</v>
      </c>
      <c r="E111" s="1" t="s">
        <v>12</v>
      </c>
      <c r="F111" s="1" t="s">
        <v>11</v>
      </c>
      <c r="G111" s="4">
        <v>2.0</v>
      </c>
      <c r="H111" s="9">
        <v>49.8</v>
      </c>
      <c r="I111" s="4"/>
      <c r="J111" s="4"/>
      <c r="K111" s="4"/>
      <c r="L111" s="4"/>
      <c r="M111" s="62" t="s">
        <v>16</v>
      </c>
      <c r="N111" s="65">
        <f t="shared" ref="N111:P111" si="6">SUM(N108:N110)</f>
        <v>48</v>
      </c>
      <c r="O111" s="65">
        <f t="shared" si="6"/>
        <v>34</v>
      </c>
      <c r="P111" s="65">
        <f t="shared" si="6"/>
        <v>33</v>
      </c>
      <c r="Q111" s="66">
        <f t="shared" si="3"/>
        <v>115</v>
      </c>
      <c r="S111" s="4"/>
      <c r="T111" s="4"/>
      <c r="U111" s="4"/>
      <c r="V111" s="4"/>
      <c r="W111" s="4"/>
      <c r="X111" s="4"/>
      <c r="Y111" s="4"/>
      <c r="Z111" s="4"/>
      <c r="AA111" s="4"/>
      <c r="AB111" s="4"/>
      <c r="AC111" s="4"/>
      <c r="AD111" s="29"/>
      <c r="AE111" s="9"/>
      <c r="AF111" s="4"/>
      <c r="AG111" s="4"/>
      <c r="AH111" s="4"/>
      <c r="AI111" s="4"/>
      <c r="AJ111" s="4"/>
      <c r="AK111" s="29"/>
      <c r="AL111" s="9"/>
      <c r="AM111" s="4"/>
      <c r="AN111" s="4"/>
    </row>
    <row r="112" ht="15.75" customHeight="1">
      <c r="A112" s="6">
        <v>41374.0</v>
      </c>
      <c r="B112" s="7">
        <v>4.0</v>
      </c>
      <c r="C112" s="1" t="s">
        <v>8</v>
      </c>
      <c r="D112" s="1" t="s">
        <v>21</v>
      </c>
      <c r="E112" s="8" t="s">
        <v>17</v>
      </c>
      <c r="F112" s="1" t="s">
        <v>11</v>
      </c>
      <c r="G112" s="4">
        <v>2.0</v>
      </c>
      <c r="H112" s="9">
        <v>29.97</v>
      </c>
      <c r="I112" s="4"/>
      <c r="J112" s="4"/>
      <c r="K112" s="4"/>
      <c r="L112" s="4"/>
      <c r="M112" s="4"/>
      <c r="N112" s="4"/>
      <c r="O112" s="4"/>
      <c r="P112" s="4"/>
      <c r="Q112" s="4"/>
      <c r="R112" s="4"/>
      <c r="S112" s="4"/>
      <c r="T112" s="4"/>
      <c r="U112" s="4"/>
      <c r="V112" s="4"/>
      <c r="W112" s="4"/>
      <c r="X112" s="4"/>
      <c r="Y112" s="4"/>
      <c r="Z112" s="4"/>
      <c r="AA112" s="4"/>
      <c r="AB112" s="4"/>
      <c r="AC112" s="4"/>
      <c r="AD112" s="29"/>
      <c r="AE112" s="9"/>
      <c r="AF112" s="4"/>
      <c r="AG112" s="4"/>
      <c r="AH112" s="4"/>
      <c r="AI112" s="4"/>
      <c r="AJ112" s="4"/>
      <c r="AK112" s="29"/>
      <c r="AL112" s="9"/>
      <c r="AM112" s="4"/>
      <c r="AN112" s="4"/>
    </row>
    <row r="113" ht="15.75" customHeight="1">
      <c r="A113" s="6">
        <v>41374.0</v>
      </c>
      <c r="B113" s="7">
        <v>4.0</v>
      </c>
      <c r="C113" s="1" t="s">
        <v>14</v>
      </c>
      <c r="D113" s="1" t="s">
        <v>21</v>
      </c>
      <c r="E113" s="1" t="s">
        <v>12</v>
      </c>
      <c r="F113" s="1" t="s">
        <v>19</v>
      </c>
      <c r="G113" s="4">
        <v>2.0</v>
      </c>
      <c r="H113" s="9">
        <v>82.53</v>
      </c>
      <c r="I113" s="4"/>
      <c r="J113" s="4"/>
      <c r="K113" s="4"/>
      <c r="L113" s="4"/>
      <c r="M113" s="4"/>
      <c r="N113" s="4"/>
      <c r="O113" s="4"/>
      <c r="P113" s="4"/>
      <c r="Q113" s="4"/>
      <c r="R113" s="4"/>
      <c r="S113" s="4"/>
      <c r="T113" s="4"/>
      <c r="U113" s="4"/>
      <c r="V113" s="4"/>
      <c r="W113" s="4"/>
      <c r="X113" s="4"/>
      <c r="Y113" s="4"/>
      <c r="Z113" s="4"/>
      <c r="AA113" s="4"/>
      <c r="AB113" s="4"/>
      <c r="AC113" s="4"/>
      <c r="AD113" s="29"/>
      <c r="AE113" s="9"/>
      <c r="AF113" s="4"/>
      <c r="AG113" s="4"/>
      <c r="AH113" s="4"/>
      <c r="AI113" s="4"/>
      <c r="AJ113" s="4"/>
      <c r="AK113" s="29"/>
      <c r="AL113" s="9"/>
      <c r="AM113" s="4"/>
      <c r="AN113" s="4"/>
    </row>
    <row r="114" ht="15.75" customHeight="1">
      <c r="A114" s="6">
        <v>41374.0</v>
      </c>
      <c r="B114" s="7">
        <v>4.0</v>
      </c>
      <c r="C114" s="1" t="s">
        <v>14</v>
      </c>
      <c r="D114" s="1" t="s">
        <v>20</v>
      </c>
      <c r="E114" s="8" t="s">
        <v>12</v>
      </c>
      <c r="F114" s="1" t="s">
        <v>11</v>
      </c>
      <c r="G114" s="4">
        <v>4.0</v>
      </c>
      <c r="H114" s="9">
        <v>142.76</v>
      </c>
      <c r="I114" s="4"/>
      <c r="J114" s="4"/>
      <c r="K114" s="4"/>
      <c r="L114" s="4"/>
      <c r="M114" s="4"/>
      <c r="N114" s="4"/>
      <c r="O114" s="4"/>
      <c r="P114" s="4"/>
      <c r="Q114" s="4"/>
      <c r="R114" s="4"/>
      <c r="S114" s="4"/>
      <c r="T114" s="4"/>
      <c r="U114" s="4"/>
      <c r="V114" s="4"/>
      <c r="W114" s="4"/>
      <c r="X114" s="4"/>
      <c r="Y114" s="4"/>
      <c r="Z114" s="4"/>
      <c r="AA114" s="4"/>
      <c r="AB114" s="4"/>
      <c r="AC114" s="4"/>
      <c r="AD114" s="29"/>
      <c r="AE114" s="9"/>
      <c r="AF114" s="4"/>
      <c r="AG114" s="4"/>
      <c r="AH114" s="4"/>
      <c r="AI114" s="4"/>
      <c r="AJ114" s="4"/>
      <c r="AK114" s="29"/>
      <c r="AL114" s="9"/>
      <c r="AM114" s="4"/>
      <c r="AN114" s="4"/>
    </row>
    <row r="115" ht="15.75" customHeight="1">
      <c r="A115" s="6">
        <v>41374.0</v>
      </c>
      <c r="B115" s="7">
        <v>4.0</v>
      </c>
      <c r="C115" s="1" t="s">
        <v>15</v>
      </c>
      <c r="D115" s="1" t="s">
        <v>18</v>
      </c>
      <c r="E115" s="1" t="s">
        <v>17</v>
      </c>
      <c r="F115" s="1" t="s">
        <v>19</v>
      </c>
      <c r="G115" s="4">
        <v>2.0</v>
      </c>
      <c r="H115" s="9">
        <v>72.58</v>
      </c>
      <c r="I115" s="4"/>
      <c r="J115" s="4"/>
      <c r="K115" s="4"/>
      <c r="L115" s="4"/>
      <c r="M115" s="4"/>
      <c r="N115" s="4" t="s">
        <v>88</v>
      </c>
      <c r="O115" s="22">
        <f>_xlfn.CHISQ.TEST(N101:P103,N108:P110)</f>
        <v>0.06304295954</v>
      </c>
      <c r="P115" s="4"/>
      <c r="Q115" s="4" t="s">
        <v>89</v>
      </c>
      <c r="R115" s="22">
        <f>(3-1)*(3-1)</f>
        <v>4</v>
      </c>
      <c r="S115" s="4"/>
      <c r="T115" s="4"/>
      <c r="U115" s="4"/>
      <c r="V115" s="4"/>
      <c r="W115" s="4"/>
      <c r="X115" s="4"/>
      <c r="Y115" s="4"/>
      <c r="Z115" s="4"/>
      <c r="AA115" s="4"/>
      <c r="AB115" s="4"/>
      <c r="AC115" s="4"/>
      <c r="AD115" s="29"/>
      <c r="AE115" s="9"/>
      <c r="AF115" s="4"/>
      <c r="AG115" s="4"/>
      <c r="AH115" s="4"/>
      <c r="AI115" s="4"/>
      <c r="AJ115" s="4"/>
      <c r="AK115" s="29"/>
      <c r="AL115" s="9"/>
      <c r="AM115" s="4"/>
      <c r="AN115" s="4"/>
    </row>
    <row r="116" ht="15.75" customHeight="1">
      <c r="A116" s="6">
        <v>41374.0</v>
      </c>
      <c r="B116" s="7">
        <v>4.0</v>
      </c>
      <c r="C116" s="1" t="s">
        <v>15</v>
      </c>
      <c r="D116" s="1" t="s">
        <v>21</v>
      </c>
      <c r="E116" s="1" t="s">
        <v>10</v>
      </c>
      <c r="F116" s="1" t="s">
        <v>19</v>
      </c>
      <c r="G116" s="4">
        <v>2.0</v>
      </c>
      <c r="H116" s="9">
        <v>55.39</v>
      </c>
      <c r="I116" s="4"/>
      <c r="J116" s="4"/>
      <c r="K116" s="4"/>
      <c r="L116" s="4"/>
      <c r="M116" s="4"/>
      <c r="N116" s="4"/>
      <c r="O116" s="4"/>
      <c r="P116" s="4"/>
      <c r="Q116" s="4"/>
      <c r="R116" s="4"/>
      <c r="S116" s="4"/>
      <c r="T116" s="4"/>
      <c r="U116" s="4"/>
      <c r="V116" s="4"/>
      <c r="W116" s="4"/>
      <c r="X116" s="4"/>
      <c r="Y116" s="4"/>
      <c r="Z116" s="4"/>
      <c r="AA116" s="4"/>
      <c r="AB116" s="4"/>
      <c r="AC116" s="4"/>
      <c r="AD116" s="29"/>
      <c r="AE116" s="9"/>
      <c r="AF116" s="4"/>
      <c r="AG116" s="4"/>
      <c r="AH116" s="4"/>
      <c r="AI116" s="4"/>
      <c r="AJ116" s="4"/>
      <c r="AK116" s="29"/>
      <c r="AL116" s="9"/>
      <c r="AM116" s="4"/>
      <c r="AN116" s="4"/>
    </row>
    <row r="117" ht="15.75" customHeight="1">
      <c r="A117" s="6">
        <v>41375.0</v>
      </c>
      <c r="B117" s="7">
        <v>5.0</v>
      </c>
      <c r="C117" s="1" t="s">
        <v>14</v>
      </c>
      <c r="D117" s="1" t="s">
        <v>9</v>
      </c>
      <c r="E117" s="1" t="s">
        <v>10</v>
      </c>
      <c r="F117" s="1" t="s">
        <v>11</v>
      </c>
      <c r="G117" s="4">
        <v>4.0</v>
      </c>
      <c r="H117" s="9">
        <v>206.39</v>
      </c>
      <c r="I117" s="4"/>
      <c r="J117" s="4"/>
      <c r="K117" s="4"/>
      <c r="L117" s="4"/>
      <c r="M117" s="4"/>
      <c r="N117" s="4"/>
      <c r="O117" s="4"/>
      <c r="P117" s="4"/>
      <c r="Q117" s="4"/>
      <c r="R117" s="4"/>
      <c r="S117" s="4"/>
      <c r="T117" s="4"/>
      <c r="U117" s="4"/>
      <c r="V117" s="4"/>
      <c r="W117" s="4"/>
      <c r="X117" s="4"/>
      <c r="Y117" s="4"/>
      <c r="Z117" s="4"/>
      <c r="AA117" s="4"/>
      <c r="AB117" s="4"/>
      <c r="AC117" s="4"/>
      <c r="AD117" s="29"/>
      <c r="AE117" s="9"/>
      <c r="AF117" s="4"/>
      <c r="AG117" s="4"/>
      <c r="AH117" s="4"/>
      <c r="AI117" s="4"/>
      <c r="AJ117" s="4"/>
      <c r="AK117" s="29"/>
      <c r="AL117" s="9"/>
      <c r="AM117" s="4"/>
      <c r="AN117" s="4"/>
    </row>
    <row r="118" ht="15.75" customHeight="1">
      <c r="A118" s="6">
        <v>41376.0</v>
      </c>
      <c r="B118" s="7">
        <v>6.0</v>
      </c>
      <c r="C118" s="1" t="s">
        <v>8</v>
      </c>
      <c r="D118" s="1" t="s">
        <v>21</v>
      </c>
      <c r="E118" s="1" t="s">
        <v>12</v>
      </c>
      <c r="F118" s="1" t="s">
        <v>11</v>
      </c>
      <c r="G118" s="4">
        <v>4.0</v>
      </c>
      <c r="H118" s="9">
        <v>245.67</v>
      </c>
      <c r="I118" s="4"/>
      <c r="J118" s="4"/>
      <c r="K118" s="4"/>
      <c r="L118" s="4"/>
      <c r="M118" s="4"/>
      <c r="N118" s="4"/>
      <c r="O118" s="4"/>
      <c r="P118" s="4"/>
      <c r="Q118" s="4"/>
      <c r="R118" s="4"/>
      <c r="S118" s="4"/>
      <c r="T118" s="4"/>
      <c r="U118" s="4"/>
      <c r="V118" s="4"/>
      <c r="W118" s="4"/>
      <c r="X118" s="4"/>
      <c r="Y118" s="4"/>
      <c r="Z118" s="4"/>
      <c r="AA118" s="4"/>
      <c r="AB118" s="4"/>
      <c r="AC118" s="4"/>
      <c r="AD118" s="29"/>
      <c r="AE118" s="9"/>
      <c r="AF118" s="4"/>
      <c r="AG118" s="4"/>
      <c r="AH118" s="4"/>
      <c r="AI118" s="4"/>
      <c r="AJ118" s="4"/>
      <c r="AK118" s="29"/>
      <c r="AL118" s="9"/>
      <c r="AM118" s="4"/>
      <c r="AN118" s="4"/>
    </row>
    <row r="119" ht="15.75" customHeight="1">
      <c r="A119" s="6">
        <v>41376.0</v>
      </c>
      <c r="B119" s="7">
        <v>6.0</v>
      </c>
      <c r="C119" s="1" t="s">
        <v>8</v>
      </c>
      <c r="D119" s="1" t="s">
        <v>18</v>
      </c>
      <c r="E119" s="1" t="s">
        <v>12</v>
      </c>
      <c r="F119" s="1" t="s">
        <v>11</v>
      </c>
      <c r="G119" s="4">
        <v>5.0</v>
      </c>
      <c r="H119" s="9">
        <v>265.69</v>
      </c>
      <c r="I119" s="4"/>
      <c r="J119" s="4"/>
      <c r="K119" s="4"/>
      <c r="L119" s="4"/>
      <c r="M119" s="4"/>
      <c r="N119" s="4"/>
      <c r="O119" s="4"/>
      <c r="P119" s="4"/>
      <c r="Q119" s="4"/>
      <c r="R119" s="4"/>
      <c r="S119" s="4"/>
      <c r="T119" s="4"/>
      <c r="U119" s="4"/>
      <c r="V119" s="4"/>
      <c r="W119" s="4"/>
      <c r="X119" s="4"/>
      <c r="Y119" s="4"/>
      <c r="Z119" s="4"/>
      <c r="AA119" s="4"/>
      <c r="AB119" s="4"/>
      <c r="AC119" s="4"/>
      <c r="AD119" s="4"/>
      <c r="AE119" s="9"/>
      <c r="AF119" s="4"/>
      <c r="AG119" s="4"/>
      <c r="AH119" s="4"/>
      <c r="AI119" s="4"/>
      <c r="AJ119" s="4"/>
      <c r="AK119" s="4"/>
      <c r="AL119" s="9"/>
      <c r="AM119" s="4"/>
      <c r="AN119" s="4"/>
    </row>
    <row r="120" ht="15.75" customHeight="1">
      <c r="A120" s="6">
        <v>41376.0</v>
      </c>
      <c r="B120" s="7">
        <v>6.0</v>
      </c>
      <c r="C120" s="1" t="s">
        <v>14</v>
      </c>
      <c r="D120" s="1" t="s">
        <v>20</v>
      </c>
      <c r="E120" s="1" t="s">
        <v>12</v>
      </c>
      <c r="F120" s="1" t="s">
        <v>11</v>
      </c>
      <c r="G120" s="4">
        <v>3.0</v>
      </c>
      <c r="H120" s="9">
        <v>124.46</v>
      </c>
      <c r="I120" s="4"/>
      <c r="J120" s="4"/>
      <c r="K120" s="4"/>
      <c r="L120" s="4"/>
      <c r="M120" s="4"/>
      <c r="N120" s="4" t="s">
        <v>90</v>
      </c>
      <c r="O120" s="23">
        <f>_xlfn.CHISQ.INV.RT(O115,R115)</f>
        <v>8.923397513</v>
      </c>
      <c r="P120" s="4"/>
      <c r="Q120" s="4"/>
      <c r="R120" s="4"/>
      <c r="S120" s="4"/>
      <c r="T120" s="4"/>
      <c r="U120" s="4"/>
      <c r="V120" s="4"/>
      <c r="W120" s="4"/>
      <c r="X120" s="4"/>
      <c r="Y120" s="4"/>
      <c r="Z120" s="4"/>
      <c r="AA120" s="4"/>
      <c r="AB120" s="4"/>
      <c r="AC120" s="4"/>
      <c r="AD120" s="4"/>
      <c r="AE120" s="9"/>
      <c r="AF120" s="4"/>
      <c r="AG120" s="4"/>
      <c r="AH120" s="4"/>
      <c r="AI120" s="4"/>
      <c r="AJ120" s="4"/>
      <c r="AK120" s="4"/>
      <c r="AL120" s="9"/>
      <c r="AM120" s="4"/>
      <c r="AN120" s="4"/>
    </row>
    <row r="121" ht="15.75" customHeight="1">
      <c r="A121" s="6">
        <v>41376.0</v>
      </c>
      <c r="B121" s="7">
        <v>6.0</v>
      </c>
      <c r="C121" s="1" t="s">
        <v>14</v>
      </c>
      <c r="D121" s="1" t="s">
        <v>18</v>
      </c>
      <c r="E121" s="1" t="s">
        <v>12</v>
      </c>
      <c r="F121" s="1" t="s">
        <v>11</v>
      </c>
      <c r="G121" s="4">
        <v>6.0</v>
      </c>
      <c r="H121" s="9">
        <v>206.26</v>
      </c>
      <c r="I121" s="4"/>
      <c r="J121" s="4"/>
      <c r="K121" s="4"/>
      <c r="L121" s="4"/>
      <c r="M121" s="4"/>
      <c r="N121" s="4"/>
      <c r="O121" s="4"/>
      <c r="P121" s="4"/>
      <c r="Q121" s="4"/>
      <c r="R121" s="4"/>
      <c r="S121" s="4"/>
      <c r="T121" s="4"/>
      <c r="U121" s="4"/>
      <c r="V121" s="4"/>
      <c r="W121" s="4"/>
      <c r="X121" s="4"/>
      <c r="Y121" s="4"/>
      <c r="Z121" s="4"/>
      <c r="AA121" s="4"/>
      <c r="AB121" s="4"/>
      <c r="AC121" s="4"/>
      <c r="AD121" s="4"/>
      <c r="AE121" s="9"/>
      <c r="AF121" s="4"/>
      <c r="AG121" s="4"/>
      <c r="AH121" s="4"/>
      <c r="AI121" s="4"/>
      <c r="AJ121" s="4"/>
      <c r="AK121" s="4"/>
      <c r="AL121" s="9"/>
      <c r="AM121" s="4"/>
      <c r="AN121" s="4"/>
    </row>
    <row r="122" ht="15.75" customHeight="1">
      <c r="A122" s="6">
        <v>41377.0</v>
      </c>
      <c r="B122" s="7">
        <v>7.0</v>
      </c>
      <c r="C122" s="1" t="s">
        <v>14</v>
      </c>
      <c r="D122" s="1" t="s">
        <v>20</v>
      </c>
      <c r="E122" s="8" t="s">
        <v>12</v>
      </c>
      <c r="F122" s="1" t="s">
        <v>11</v>
      </c>
      <c r="G122" s="4">
        <v>7.0</v>
      </c>
      <c r="H122" s="9">
        <v>306.23</v>
      </c>
      <c r="I122" s="4"/>
      <c r="J122" s="4"/>
      <c r="K122" s="4"/>
      <c r="L122" s="4"/>
      <c r="M122" s="4"/>
      <c r="N122" s="4"/>
      <c r="O122" s="4"/>
      <c r="P122" s="4"/>
      <c r="Q122" s="4"/>
      <c r="R122" s="4"/>
      <c r="S122" s="4"/>
      <c r="T122" s="4"/>
      <c r="U122" s="4"/>
      <c r="V122" s="4"/>
      <c r="W122" s="4"/>
      <c r="X122" s="4"/>
      <c r="Y122" s="4"/>
      <c r="Z122" s="4"/>
      <c r="AA122" s="4"/>
      <c r="AB122" s="4"/>
      <c r="AC122" s="4"/>
      <c r="AD122" s="4"/>
      <c r="AE122" s="9"/>
      <c r="AF122" s="4"/>
      <c r="AG122" s="4"/>
      <c r="AH122" s="4"/>
      <c r="AI122" s="4"/>
      <c r="AJ122" s="4"/>
      <c r="AK122" s="4"/>
      <c r="AL122" s="9"/>
      <c r="AM122" s="4"/>
      <c r="AN122" s="4"/>
    </row>
    <row r="123" ht="15.75" customHeight="1">
      <c r="A123" s="6">
        <v>41378.0</v>
      </c>
      <c r="B123" s="7">
        <v>1.0</v>
      </c>
      <c r="C123" s="1" t="s">
        <v>8</v>
      </c>
      <c r="D123" s="1" t="s">
        <v>20</v>
      </c>
      <c r="E123" s="8" t="s">
        <v>17</v>
      </c>
      <c r="F123" s="1" t="s">
        <v>11</v>
      </c>
      <c r="G123" s="4">
        <v>1.0</v>
      </c>
      <c r="H123" s="9">
        <v>48.12</v>
      </c>
      <c r="I123" s="4"/>
      <c r="J123" s="4"/>
      <c r="K123" s="4"/>
      <c r="L123" s="4"/>
      <c r="M123" s="4"/>
      <c r="N123" s="4"/>
      <c r="O123" s="4"/>
      <c r="P123" s="4"/>
      <c r="Q123" s="4"/>
      <c r="R123" s="4"/>
      <c r="S123" s="4"/>
      <c r="T123" s="4"/>
      <c r="U123" s="4"/>
      <c r="V123" s="4"/>
      <c r="W123" s="4"/>
      <c r="X123" s="4"/>
      <c r="Y123" s="4"/>
      <c r="Z123" s="4"/>
      <c r="AA123" s="4"/>
      <c r="AB123" s="4"/>
      <c r="AC123" s="4"/>
      <c r="AD123" s="4"/>
      <c r="AE123" s="9"/>
      <c r="AF123" s="4"/>
      <c r="AG123" s="4"/>
      <c r="AH123" s="4"/>
      <c r="AI123" s="4"/>
      <c r="AJ123" s="4"/>
      <c r="AK123" s="4"/>
      <c r="AL123" s="9"/>
      <c r="AM123" s="4"/>
      <c r="AN123" s="4"/>
    </row>
    <row r="124" ht="15.75" customHeight="1">
      <c r="A124" s="6">
        <v>41378.0</v>
      </c>
      <c r="B124" s="7">
        <v>1.0</v>
      </c>
      <c r="C124" s="1" t="s">
        <v>14</v>
      </c>
      <c r="D124" s="1" t="s">
        <v>21</v>
      </c>
      <c r="E124" s="1" t="s">
        <v>12</v>
      </c>
      <c r="F124" s="1" t="s">
        <v>19</v>
      </c>
      <c r="G124" s="4">
        <v>4.0</v>
      </c>
      <c r="H124" s="9">
        <v>113.95</v>
      </c>
      <c r="I124" s="4"/>
      <c r="J124" s="4"/>
      <c r="K124" s="4"/>
      <c r="L124" s="4"/>
      <c r="M124" s="4"/>
      <c r="N124" s="4"/>
      <c r="O124" s="4"/>
      <c r="P124" s="4"/>
      <c r="Q124" s="4"/>
      <c r="R124" s="4"/>
      <c r="S124" s="4"/>
      <c r="T124" s="4"/>
      <c r="U124" s="4"/>
      <c r="V124" s="4"/>
      <c r="W124" s="4"/>
      <c r="X124" s="4"/>
      <c r="Y124" s="4"/>
      <c r="Z124" s="4"/>
      <c r="AA124" s="4"/>
      <c r="AB124" s="4"/>
      <c r="AC124" s="4"/>
      <c r="AD124" s="4"/>
      <c r="AE124" s="9"/>
      <c r="AF124" s="4"/>
      <c r="AG124" s="4"/>
      <c r="AH124" s="4"/>
      <c r="AI124" s="4"/>
      <c r="AJ124" s="4"/>
      <c r="AK124" s="4"/>
      <c r="AL124" s="9"/>
      <c r="AM124" s="4"/>
      <c r="AN124" s="4"/>
    </row>
    <row r="125" ht="15.75" customHeight="1">
      <c r="A125" s="6">
        <v>41378.0</v>
      </c>
      <c r="B125" s="7">
        <v>1.0</v>
      </c>
      <c r="C125" s="1" t="s">
        <v>14</v>
      </c>
      <c r="D125" s="1" t="s">
        <v>9</v>
      </c>
      <c r="E125" s="1" t="s">
        <v>10</v>
      </c>
      <c r="F125" s="1" t="s">
        <v>11</v>
      </c>
      <c r="G125" s="4">
        <v>6.0</v>
      </c>
      <c r="H125" s="9">
        <v>261.44</v>
      </c>
      <c r="I125" s="4"/>
      <c r="J125" s="4"/>
      <c r="K125" s="4"/>
      <c r="L125" s="4"/>
      <c r="M125" s="4"/>
      <c r="N125" s="2" t="s">
        <v>63</v>
      </c>
      <c r="O125" s="21" t="s">
        <v>40</v>
      </c>
      <c r="P125" s="2" t="s">
        <v>64</v>
      </c>
      <c r="Q125" s="21" t="s">
        <v>26</v>
      </c>
      <c r="R125" s="2" t="s">
        <v>65</v>
      </c>
      <c r="S125" s="20">
        <v>0.05</v>
      </c>
      <c r="T125" s="2" t="s">
        <v>66</v>
      </c>
      <c r="U125" s="19" t="s">
        <v>33</v>
      </c>
      <c r="V125" s="4" t="s">
        <v>67</v>
      </c>
      <c r="W125" s="4"/>
      <c r="X125" s="4"/>
      <c r="Y125" s="4"/>
      <c r="Z125" s="4"/>
      <c r="AA125" s="4"/>
      <c r="AB125" s="4"/>
      <c r="AC125" s="4"/>
      <c r="AD125" s="4"/>
      <c r="AE125" s="9"/>
      <c r="AF125" s="4"/>
      <c r="AG125" s="4"/>
      <c r="AH125" s="4"/>
      <c r="AI125" s="4"/>
      <c r="AJ125" s="4"/>
      <c r="AK125" s="4"/>
      <c r="AL125" s="9"/>
      <c r="AM125" s="4"/>
      <c r="AN125" s="4"/>
    </row>
    <row r="126" ht="15.75" customHeight="1">
      <c r="A126" s="6">
        <v>41379.0</v>
      </c>
      <c r="B126" s="7">
        <v>2.0</v>
      </c>
      <c r="C126" s="1" t="s">
        <v>8</v>
      </c>
      <c r="D126" s="1" t="s">
        <v>20</v>
      </c>
      <c r="E126" s="1" t="s">
        <v>17</v>
      </c>
      <c r="F126" s="1" t="s">
        <v>19</v>
      </c>
      <c r="G126" s="4">
        <v>2.0</v>
      </c>
      <c r="H126" s="9">
        <v>59.9</v>
      </c>
      <c r="I126" s="4"/>
      <c r="J126" s="4"/>
      <c r="K126" s="4"/>
      <c r="L126" s="4"/>
      <c r="M126" s="4"/>
      <c r="N126" s="4"/>
      <c r="O126" s="4"/>
      <c r="P126" s="4"/>
      <c r="Q126" s="4"/>
      <c r="R126" s="4"/>
      <c r="S126" s="4"/>
      <c r="T126" s="4"/>
      <c r="U126" s="4"/>
      <c r="V126" s="4"/>
      <c r="W126" s="4"/>
      <c r="X126" s="4"/>
      <c r="Y126" s="4"/>
      <c r="Z126" s="4"/>
      <c r="AA126" s="4"/>
      <c r="AB126" s="4"/>
      <c r="AC126" s="4"/>
      <c r="AD126" s="4"/>
      <c r="AE126" s="9"/>
      <c r="AF126" s="4"/>
      <c r="AG126" s="4"/>
      <c r="AH126" s="4"/>
      <c r="AI126" s="4"/>
      <c r="AJ126" s="4"/>
      <c r="AK126" s="4"/>
      <c r="AL126" s="9"/>
      <c r="AM126" s="4"/>
      <c r="AN126" s="4"/>
    </row>
    <row r="127" ht="15.75" customHeight="1">
      <c r="A127" s="6">
        <v>41379.0</v>
      </c>
      <c r="B127" s="7">
        <v>2.0</v>
      </c>
      <c r="C127" s="1" t="s">
        <v>8</v>
      </c>
      <c r="D127" s="1" t="s">
        <v>21</v>
      </c>
      <c r="E127" s="1" t="s">
        <v>10</v>
      </c>
      <c r="F127" s="1" t="s">
        <v>11</v>
      </c>
      <c r="G127" s="4">
        <v>2.0</v>
      </c>
      <c r="H127" s="9">
        <v>49.73</v>
      </c>
      <c r="I127" s="4"/>
      <c r="J127" s="4"/>
      <c r="K127" s="4"/>
      <c r="L127" s="4"/>
      <c r="M127" s="4"/>
      <c r="N127" s="2" t="s">
        <v>63</v>
      </c>
      <c r="O127" s="20" t="s">
        <v>31</v>
      </c>
      <c r="P127" s="2" t="s">
        <v>64</v>
      </c>
      <c r="Q127" s="21" t="s">
        <v>26</v>
      </c>
      <c r="R127" s="2" t="s">
        <v>65</v>
      </c>
      <c r="S127" s="20">
        <v>0.1</v>
      </c>
      <c r="T127" s="2" t="s">
        <v>66</v>
      </c>
      <c r="U127" s="24" t="s">
        <v>22</v>
      </c>
      <c r="V127" s="4" t="s">
        <v>67</v>
      </c>
      <c r="W127" s="4"/>
      <c r="X127" s="4"/>
      <c r="Y127" s="4"/>
      <c r="Z127" s="4"/>
      <c r="AA127" s="4"/>
      <c r="AB127" s="4"/>
      <c r="AC127" s="4"/>
      <c r="AD127" s="4"/>
      <c r="AE127" s="9"/>
      <c r="AF127" s="4"/>
      <c r="AG127" s="4"/>
      <c r="AH127" s="4"/>
      <c r="AI127" s="4"/>
      <c r="AJ127" s="4"/>
      <c r="AK127" s="4"/>
      <c r="AL127" s="9"/>
      <c r="AM127" s="4"/>
      <c r="AN127" s="4"/>
    </row>
    <row r="128" ht="15.75" customHeight="1">
      <c r="A128" s="6">
        <v>41379.0</v>
      </c>
      <c r="B128" s="7">
        <v>2.0</v>
      </c>
      <c r="C128" s="1" t="s">
        <v>8</v>
      </c>
      <c r="D128" s="1" t="s">
        <v>21</v>
      </c>
      <c r="E128" s="1" t="s">
        <v>10</v>
      </c>
      <c r="F128" s="1" t="s">
        <v>11</v>
      </c>
      <c r="G128" s="4">
        <v>3.0</v>
      </c>
      <c r="H128" s="9">
        <v>65.06</v>
      </c>
      <c r="I128" s="4"/>
      <c r="J128" s="4"/>
      <c r="K128" s="4"/>
      <c r="L128" s="4"/>
      <c r="M128" s="4"/>
      <c r="N128" s="4"/>
      <c r="O128" s="4"/>
      <c r="P128" s="4"/>
      <c r="Q128" s="4"/>
      <c r="R128" s="4"/>
      <c r="S128" s="4"/>
      <c r="T128" s="4"/>
      <c r="U128" s="4"/>
      <c r="V128" s="4"/>
      <c r="W128" s="4"/>
      <c r="X128" s="4"/>
      <c r="Y128" s="4"/>
      <c r="Z128" s="4"/>
      <c r="AA128" s="4"/>
      <c r="AB128" s="4"/>
      <c r="AC128" s="4"/>
      <c r="AD128" s="4"/>
      <c r="AE128" s="9"/>
      <c r="AF128" s="4"/>
      <c r="AG128" s="4"/>
      <c r="AH128" s="4"/>
      <c r="AI128" s="4"/>
      <c r="AJ128" s="4"/>
      <c r="AK128" s="4"/>
      <c r="AL128" s="4"/>
      <c r="AM128" s="4"/>
      <c r="AN128" s="4"/>
    </row>
    <row r="129" ht="15.75" customHeight="1">
      <c r="A129" s="6">
        <v>41379.0</v>
      </c>
      <c r="B129" s="7">
        <v>2.0</v>
      </c>
      <c r="C129" s="1" t="s">
        <v>14</v>
      </c>
      <c r="D129" s="1" t="s">
        <v>9</v>
      </c>
      <c r="E129" s="1" t="s">
        <v>10</v>
      </c>
      <c r="F129" s="1" t="s">
        <v>19</v>
      </c>
      <c r="G129" s="4">
        <v>4.0</v>
      </c>
      <c r="H129" s="9">
        <v>97.71</v>
      </c>
      <c r="I129" s="4"/>
      <c r="J129" s="4"/>
      <c r="K129" s="4"/>
      <c r="L129" s="4"/>
      <c r="M129" s="4"/>
      <c r="N129" s="4"/>
      <c r="O129" s="4"/>
      <c r="P129" s="4"/>
      <c r="Q129" s="4"/>
      <c r="R129" s="4"/>
      <c r="S129" s="4"/>
      <c r="T129" s="4"/>
      <c r="U129" s="4"/>
      <c r="V129" s="4"/>
      <c r="W129" s="4"/>
      <c r="X129" s="4"/>
      <c r="Y129" s="4"/>
      <c r="Z129" s="4"/>
      <c r="AA129" s="4"/>
      <c r="AB129" s="4"/>
      <c r="AC129" s="4"/>
      <c r="AD129" s="4"/>
      <c r="AE129" s="9"/>
      <c r="AF129" s="4"/>
      <c r="AG129" s="4"/>
      <c r="AH129" s="4"/>
      <c r="AI129" s="4"/>
      <c r="AJ129" s="4"/>
      <c r="AK129" s="4"/>
      <c r="AL129" s="4"/>
      <c r="AM129" s="4"/>
      <c r="AN129" s="4"/>
    </row>
    <row r="130" ht="15.75" customHeight="1">
      <c r="A130" s="6">
        <v>41379.0</v>
      </c>
      <c r="B130" s="7">
        <v>2.0</v>
      </c>
      <c r="C130" s="1" t="s">
        <v>14</v>
      </c>
      <c r="D130" s="1" t="s">
        <v>18</v>
      </c>
      <c r="E130" s="1" t="s">
        <v>17</v>
      </c>
      <c r="F130" s="1" t="s">
        <v>11</v>
      </c>
      <c r="G130" s="4">
        <v>1.0</v>
      </c>
      <c r="H130" s="9">
        <v>49.84</v>
      </c>
      <c r="I130" s="4"/>
      <c r="J130" s="4"/>
      <c r="K130" s="4"/>
      <c r="L130" s="4"/>
      <c r="M130" s="4"/>
      <c r="N130" s="4"/>
      <c r="O130" s="4"/>
      <c r="P130" s="4"/>
      <c r="Q130" s="4"/>
      <c r="R130" s="4"/>
      <c r="S130" s="4"/>
      <c r="T130" s="4"/>
      <c r="U130" s="4"/>
      <c r="V130" s="4"/>
      <c r="W130" s="4"/>
      <c r="X130" s="4"/>
      <c r="Y130" s="4"/>
      <c r="Z130" s="4"/>
      <c r="AA130" s="4"/>
      <c r="AB130" s="4"/>
      <c r="AC130" s="4"/>
      <c r="AD130" s="4"/>
      <c r="AE130" s="9"/>
      <c r="AF130" s="4"/>
      <c r="AG130" s="4"/>
      <c r="AH130" s="4"/>
      <c r="AI130" s="4"/>
      <c r="AJ130" s="4"/>
      <c r="AK130" s="4"/>
      <c r="AL130" s="4"/>
      <c r="AM130" s="4"/>
      <c r="AN130" s="4"/>
    </row>
    <row r="131" ht="15.75" customHeight="1">
      <c r="A131" s="6">
        <v>41379.0</v>
      </c>
      <c r="B131" s="7">
        <v>2.0</v>
      </c>
      <c r="C131" s="1" t="s">
        <v>15</v>
      </c>
      <c r="D131" s="1" t="s">
        <v>21</v>
      </c>
      <c r="E131" s="1" t="s">
        <v>17</v>
      </c>
      <c r="F131" s="1" t="s">
        <v>11</v>
      </c>
      <c r="G131" s="4">
        <v>6.0</v>
      </c>
      <c r="H131" s="9">
        <v>233.94</v>
      </c>
      <c r="I131" s="4"/>
      <c r="J131" s="4"/>
      <c r="K131" s="4"/>
      <c r="L131" s="4"/>
      <c r="M131" s="4"/>
      <c r="N131" s="4"/>
      <c r="O131" s="4"/>
      <c r="P131" s="4"/>
      <c r="Q131" s="4"/>
      <c r="R131" s="4"/>
      <c r="S131" s="4"/>
      <c r="T131" s="4"/>
      <c r="U131" s="4"/>
      <c r="V131" s="4"/>
      <c r="W131" s="4"/>
      <c r="X131" s="4"/>
      <c r="Y131" s="4"/>
      <c r="Z131" s="4"/>
      <c r="AA131" s="4"/>
      <c r="AB131" s="4"/>
      <c r="AC131" s="4"/>
      <c r="AD131" s="4"/>
      <c r="AE131" s="9"/>
      <c r="AF131" s="4"/>
      <c r="AG131" s="4"/>
      <c r="AH131" s="4"/>
      <c r="AI131" s="4"/>
      <c r="AJ131" s="4"/>
      <c r="AK131" s="4"/>
      <c r="AL131" s="4"/>
      <c r="AM131" s="4"/>
      <c r="AN131" s="4"/>
    </row>
    <row r="132" ht="15.75" customHeight="1">
      <c r="A132" s="6">
        <v>41379.0</v>
      </c>
      <c r="B132" s="7">
        <v>2.0</v>
      </c>
      <c r="C132" s="1" t="s">
        <v>15</v>
      </c>
      <c r="D132" s="1" t="s">
        <v>9</v>
      </c>
      <c r="E132" s="8" t="s">
        <v>12</v>
      </c>
      <c r="F132" s="1" t="s">
        <v>11</v>
      </c>
      <c r="G132" s="4">
        <v>9.0</v>
      </c>
      <c r="H132" s="9">
        <v>370.26</v>
      </c>
      <c r="I132" s="4"/>
      <c r="J132" s="4"/>
      <c r="K132" s="4"/>
      <c r="L132" s="4"/>
      <c r="M132" s="4"/>
      <c r="N132" s="4"/>
      <c r="O132" s="4"/>
      <c r="P132" s="4"/>
      <c r="Q132" s="4"/>
      <c r="R132" s="4"/>
      <c r="S132" s="4"/>
      <c r="T132" s="4"/>
      <c r="U132" s="4"/>
      <c r="V132" s="4"/>
      <c r="W132" s="4"/>
      <c r="X132" s="4"/>
      <c r="Y132" s="4"/>
      <c r="Z132" s="4"/>
      <c r="AA132" s="4"/>
      <c r="AB132" s="4"/>
      <c r="AC132" s="4"/>
      <c r="AD132" s="4"/>
      <c r="AE132" s="9"/>
      <c r="AF132" s="4"/>
      <c r="AG132" s="4"/>
      <c r="AH132" s="4"/>
      <c r="AI132" s="4"/>
      <c r="AJ132" s="4"/>
      <c r="AK132" s="4"/>
      <c r="AL132" s="4"/>
      <c r="AM132" s="4"/>
      <c r="AN132" s="4"/>
    </row>
    <row r="133" ht="15.75" customHeight="1">
      <c r="A133" s="6">
        <v>41380.0</v>
      </c>
      <c r="B133" s="7">
        <v>3.0</v>
      </c>
      <c r="C133" s="1" t="s">
        <v>14</v>
      </c>
      <c r="D133" s="1" t="s">
        <v>9</v>
      </c>
      <c r="E133" s="8" t="s">
        <v>17</v>
      </c>
      <c r="F133" s="1" t="s">
        <v>19</v>
      </c>
      <c r="G133" s="4">
        <v>6.0</v>
      </c>
      <c r="H133" s="9">
        <v>313.11</v>
      </c>
      <c r="I133" s="4"/>
      <c r="J133" s="4"/>
      <c r="K133" s="4"/>
      <c r="L133" s="4"/>
      <c r="M133" s="4"/>
      <c r="N133" s="4" t="s">
        <v>91</v>
      </c>
      <c r="O133" s="4"/>
      <c r="P133" s="4"/>
      <c r="Q133" s="4"/>
      <c r="R133" s="4"/>
      <c r="S133" s="4"/>
      <c r="T133" s="4"/>
      <c r="U133" s="4"/>
      <c r="V133" s="4"/>
      <c r="W133" s="4"/>
      <c r="X133" s="4"/>
      <c r="Y133" s="4"/>
      <c r="Z133" s="4"/>
      <c r="AA133" s="4"/>
      <c r="AB133" s="4"/>
      <c r="AC133" s="4"/>
      <c r="AD133" s="4"/>
      <c r="AE133" s="9"/>
      <c r="AF133" s="4"/>
      <c r="AG133" s="4"/>
      <c r="AH133" s="4"/>
      <c r="AI133" s="4"/>
      <c r="AJ133" s="4"/>
      <c r="AK133" s="4"/>
      <c r="AL133" s="4"/>
      <c r="AM133" s="4"/>
      <c r="AN133" s="4"/>
    </row>
    <row r="134" ht="15.75" customHeight="1">
      <c r="A134" s="6">
        <v>41380.0</v>
      </c>
      <c r="B134" s="7">
        <v>3.0</v>
      </c>
      <c r="C134" s="1" t="s">
        <v>14</v>
      </c>
      <c r="D134" s="1" t="s">
        <v>18</v>
      </c>
      <c r="E134" s="1" t="s">
        <v>17</v>
      </c>
      <c r="F134" s="1" t="s">
        <v>11</v>
      </c>
      <c r="G134" s="4">
        <v>6.0</v>
      </c>
      <c r="H134" s="9">
        <v>141.77</v>
      </c>
      <c r="I134" s="4"/>
      <c r="J134" s="4"/>
      <c r="K134" s="4"/>
      <c r="L134" s="4"/>
      <c r="M134" s="4"/>
      <c r="N134" s="4"/>
      <c r="O134" s="4"/>
      <c r="P134" s="4"/>
      <c r="Q134" s="4"/>
      <c r="R134" s="4"/>
      <c r="S134" s="4"/>
      <c r="T134" s="4"/>
      <c r="U134" s="4"/>
      <c r="V134" s="4"/>
      <c r="W134" s="4"/>
      <c r="X134" s="4"/>
      <c r="Y134" s="4"/>
      <c r="Z134" s="4"/>
      <c r="AA134" s="4"/>
      <c r="AB134" s="4"/>
      <c r="AC134" s="4"/>
      <c r="AD134" s="4"/>
      <c r="AE134" s="9"/>
      <c r="AF134" s="4"/>
      <c r="AG134" s="4"/>
      <c r="AH134" s="4"/>
      <c r="AI134" s="4"/>
      <c r="AJ134" s="4"/>
      <c r="AK134" s="4"/>
      <c r="AL134" s="4"/>
      <c r="AM134" s="4"/>
      <c r="AN134" s="4"/>
    </row>
    <row r="135" ht="15.75" customHeight="1">
      <c r="A135" s="6">
        <v>41380.0</v>
      </c>
      <c r="B135" s="7">
        <v>3.0</v>
      </c>
      <c r="C135" s="1" t="s">
        <v>15</v>
      </c>
      <c r="D135" s="1" t="s">
        <v>20</v>
      </c>
      <c r="E135" s="1" t="s">
        <v>12</v>
      </c>
      <c r="F135" s="1" t="s">
        <v>11</v>
      </c>
      <c r="G135" s="4">
        <v>1.0</v>
      </c>
      <c r="H135" s="9">
        <v>27.99</v>
      </c>
      <c r="I135" s="4"/>
      <c r="J135" s="4"/>
      <c r="K135" s="4"/>
      <c r="L135" s="4"/>
      <c r="M135" s="4"/>
      <c r="N135" s="4"/>
      <c r="O135" s="4"/>
      <c r="P135" s="4"/>
      <c r="Q135" s="4"/>
      <c r="R135" s="4"/>
      <c r="S135" s="4"/>
      <c r="T135" s="4"/>
      <c r="U135" s="4"/>
      <c r="V135" s="4"/>
      <c r="W135" s="4"/>
      <c r="X135" s="4"/>
      <c r="Y135" s="4"/>
      <c r="Z135" s="4"/>
      <c r="AA135" s="4"/>
      <c r="AB135" s="4"/>
      <c r="AC135" s="4"/>
      <c r="AD135" s="4"/>
      <c r="AE135" s="9"/>
      <c r="AF135" s="4"/>
      <c r="AG135" s="4"/>
      <c r="AH135" s="4"/>
      <c r="AI135" s="4"/>
      <c r="AJ135" s="4"/>
      <c r="AK135" s="4"/>
      <c r="AL135" s="4"/>
      <c r="AM135" s="4"/>
      <c r="AN135" s="4"/>
    </row>
    <row r="136" ht="15.75" customHeight="1">
      <c r="A136" s="6">
        <v>41381.0</v>
      </c>
      <c r="B136" s="7">
        <v>4.0</v>
      </c>
      <c r="C136" s="1" t="s">
        <v>8</v>
      </c>
      <c r="D136" s="1" t="s">
        <v>21</v>
      </c>
      <c r="E136" s="1" t="s">
        <v>10</v>
      </c>
      <c r="F136" s="1" t="s">
        <v>11</v>
      </c>
      <c r="G136" s="4">
        <v>3.0</v>
      </c>
      <c r="H136" s="9">
        <v>81.34</v>
      </c>
      <c r="I136" s="4"/>
      <c r="J136" s="4"/>
      <c r="K136" s="4"/>
      <c r="L136" s="4"/>
      <c r="M136" s="4"/>
      <c r="N136" s="4"/>
      <c r="O136" s="4"/>
      <c r="P136" s="4"/>
      <c r="Q136" s="4"/>
      <c r="R136" s="4"/>
      <c r="S136" s="4"/>
      <c r="T136" s="4"/>
      <c r="U136" s="4"/>
      <c r="V136" s="4"/>
      <c r="W136" s="4"/>
      <c r="X136" s="4"/>
      <c r="Y136" s="4"/>
      <c r="Z136" s="4"/>
      <c r="AA136" s="4"/>
      <c r="AB136" s="4"/>
      <c r="AC136" s="4"/>
      <c r="AD136" s="4"/>
      <c r="AE136" s="9"/>
      <c r="AF136" s="4"/>
      <c r="AG136" s="4"/>
      <c r="AH136" s="4"/>
      <c r="AI136" s="4"/>
      <c r="AJ136" s="4"/>
      <c r="AK136" s="4"/>
      <c r="AL136" s="4"/>
      <c r="AM136" s="4"/>
      <c r="AN136" s="4"/>
    </row>
    <row r="137" ht="15.75" customHeight="1">
      <c r="A137" s="6">
        <v>41381.0</v>
      </c>
      <c r="B137" s="7">
        <v>4.0</v>
      </c>
      <c r="C137" s="1" t="s">
        <v>14</v>
      </c>
      <c r="D137" s="1" t="s">
        <v>9</v>
      </c>
      <c r="E137" s="1" t="s">
        <v>10</v>
      </c>
      <c r="F137" s="1" t="s">
        <v>11</v>
      </c>
      <c r="G137" s="4">
        <v>2.0</v>
      </c>
      <c r="H137" s="9">
        <v>97.15</v>
      </c>
      <c r="I137" s="4"/>
      <c r="J137" s="4"/>
      <c r="K137" s="4"/>
      <c r="L137" s="4"/>
      <c r="M137" s="4"/>
      <c r="N137" s="4"/>
      <c r="O137" s="4"/>
      <c r="P137" s="4"/>
      <c r="Q137" s="4"/>
      <c r="R137" s="4"/>
      <c r="S137" s="4"/>
      <c r="T137" s="4"/>
      <c r="U137" s="4"/>
      <c r="V137" s="4"/>
      <c r="W137" s="4"/>
      <c r="X137" s="4"/>
      <c r="Y137" s="4"/>
      <c r="Z137" s="4"/>
      <c r="AA137" s="4"/>
      <c r="AB137" s="4"/>
      <c r="AC137" s="4"/>
      <c r="AD137" s="4"/>
      <c r="AE137" s="9"/>
      <c r="AF137" s="4"/>
      <c r="AG137" s="4"/>
      <c r="AH137" s="4"/>
      <c r="AI137" s="4"/>
      <c r="AJ137" s="4"/>
      <c r="AK137" s="4"/>
      <c r="AL137" s="4"/>
      <c r="AM137" s="4"/>
      <c r="AN137" s="4"/>
    </row>
    <row r="138" ht="15.75" customHeight="1">
      <c r="A138" s="6">
        <v>41381.0</v>
      </c>
      <c r="B138" s="7">
        <v>4.0</v>
      </c>
      <c r="C138" s="1" t="s">
        <v>15</v>
      </c>
      <c r="D138" s="1" t="s">
        <v>9</v>
      </c>
      <c r="E138" s="1" t="s">
        <v>17</v>
      </c>
      <c r="F138" s="1" t="s">
        <v>19</v>
      </c>
      <c r="G138" s="4">
        <v>7.0</v>
      </c>
      <c r="H138" s="9">
        <v>352.49</v>
      </c>
      <c r="I138" s="4"/>
      <c r="J138" s="4"/>
      <c r="K138" s="4"/>
      <c r="L138" s="4"/>
      <c r="M138" s="4"/>
      <c r="N138" s="4"/>
      <c r="O138" s="4"/>
      <c r="P138" s="4"/>
      <c r="Q138" s="4"/>
      <c r="R138" s="4"/>
      <c r="S138" s="4"/>
      <c r="T138" s="4"/>
      <c r="U138" s="4"/>
      <c r="V138" s="4"/>
      <c r="W138" s="4"/>
      <c r="X138" s="4"/>
      <c r="Y138" s="4"/>
      <c r="Z138" s="4"/>
      <c r="AA138" s="4"/>
      <c r="AB138" s="4"/>
      <c r="AC138" s="4"/>
      <c r="AD138" s="4"/>
      <c r="AE138" s="9"/>
      <c r="AF138" s="4"/>
      <c r="AG138" s="4"/>
      <c r="AH138" s="4"/>
      <c r="AI138" s="4"/>
      <c r="AJ138" s="4"/>
      <c r="AK138" s="4"/>
      <c r="AL138" s="4"/>
      <c r="AM138" s="4"/>
      <c r="AN138" s="4"/>
    </row>
    <row r="139" ht="15.75" customHeight="1">
      <c r="A139" s="6">
        <v>41382.0</v>
      </c>
      <c r="B139" s="7">
        <v>5.0</v>
      </c>
      <c r="C139" s="1" t="s">
        <v>8</v>
      </c>
      <c r="D139" s="1" t="s">
        <v>20</v>
      </c>
      <c r="E139" s="1" t="s">
        <v>10</v>
      </c>
      <c r="F139" s="1" t="s">
        <v>11</v>
      </c>
      <c r="G139" s="4">
        <v>3.0</v>
      </c>
      <c r="H139" s="9">
        <v>88.75</v>
      </c>
      <c r="I139" s="4"/>
      <c r="J139" s="4"/>
      <c r="K139" s="4"/>
      <c r="L139" s="4"/>
      <c r="M139" s="4"/>
      <c r="N139" s="4"/>
      <c r="O139" s="4"/>
      <c r="P139" s="4"/>
      <c r="Q139" s="4"/>
      <c r="R139" s="4"/>
      <c r="S139" s="4"/>
      <c r="T139" s="4"/>
      <c r="U139" s="4"/>
      <c r="V139" s="4"/>
      <c r="W139" s="4"/>
      <c r="X139" s="4"/>
      <c r="Y139" s="4"/>
      <c r="Z139" s="4"/>
      <c r="AA139" s="4"/>
      <c r="AB139" s="4"/>
      <c r="AC139" s="4"/>
      <c r="AD139" s="4"/>
      <c r="AE139" s="9"/>
      <c r="AF139" s="4"/>
      <c r="AG139" s="4"/>
      <c r="AH139" s="4"/>
      <c r="AI139" s="4"/>
      <c r="AJ139" s="4"/>
      <c r="AK139" s="4"/>
      <c r="AL139" s="4"/>
      <c r="AM139" s="4"/>
      <c r="AN139" s="4"/>
    </row>
    <row r="140" ht="15.75" customHeight="1">
      <c r="A140" s="6">
        <v>41382.0</v>
      </c>
      <c r="B140" s="7">
        <v>5.0</v>
      </c>
      <c r="C140" s="1" t="s">
        <v>14</v>
      </c>
      <c r="D140" s="1" t="s">
        <v>18</v>
      </c>
      <c r="E140" s="1" t="s">
        <v>10</v>
      </c>
      <c r="F140" s="1" t="s">
        <v>11</v>
      </c>
      <c r="G140" s="4">
        <v>4.0</v>
      </c>
      <c r="H140" s="9">
        <v>107.95</v>
      </c>
      <c r="I140" s="4"/>
      <c r="J140" s="4"/>
      <c r="K140" s="4"/>
      <c r="L140" s="4"/>
      <c r="M140" s="4"/>
      <c r="N140" s="4"/>
      <c r="O140" s="4"/>
      <c r="P140" s="4"/>
      <c r="Q140" s="4"/>
      <c r="R140" s="4"/>
      <c r="S140" s="4"/>
      <c r="T140" s="4"/>
      <c r="U140" s="4"/>
      <c r="V140" s="4"/>
      <c r="W140" s="4"/>
      <c r="X140" s="4"/>
      <c r="Y140" s="4"/>
      <c r="Z140" s="4"/>
      <c r="AA140" s="4"/>
      <c r="AB140" s="4"/>
      <c r="AC140" s="4"/>
      <c r="AD140" s="4"/>
      <c r="AE140" s="9"/>
      <c r="AF140" s="4"/>
      <c r="AG140" s="4"/>
      <c r="AH140" s="4"/>
      <c r="AI140" s="4"/>
      <c r="AJ140" s="4"/>
      <c r="AK140" s="4"/>
      <c r="AL140" s="4"/>
      <c r="AM140" s="4"/>
      <c r="AN140" s="4"/>
    </row>
    <row r="141" ht="15.75" customHeight="1">
      <c r="A141" s="6">
        <v>41382.0</v>
      </c>
      <c r="B141" s="7">
        <v>5.0</v>
      </c>
      <c r="C141" s="1" t="s">
        <v>15</v>
      </c>
      <c r="D141" s="1" t="s">
        <v>18</v>
      </c>
      <c r="E141" s="1" t="s">
        <v>12</v>
      </c>
      <c r="F141" s="1" t="s">
        <v>19</v>
      </c>
      <c r="G141" s="4">
        <v>5.0</v>
      </c>
      <c r="H141" s="9">
        <v>186.22</v>
      </c>
      <c r="I141" s="4"/>
      <c r="J141" s="4"/>
      <c r="K141" s="4"/>
      <c r="L141" s="4"/>
      <c r="M141" s="4"/>
      <c r="N141" s="4"/>
      <c r="O141" s="4"/>
      <c r="P141" s="4"/>
      <c r="Q141" s="4"/>
      <c r="R141" s="4"/>
      <c r="S141" s="4"/>
      <c r="T141" s="4"/>
      <c r="U141" s="4"/>
      <c r="V141" s="4"/>
      <c r="W141" s="4"/>
      <c r="X141" s="4"/>
      <c r="Y141" s="4"/>
      <c r="Z141" s="4"/>
      <c r="AA141" s="4"/>
      <c r="AB141" s="4"/>
      <c r="AC141" s="4"/>
      <c r="AD141" s="4"/>
      <c r="AE141" s="9"/>
      <c r="AF141" s="4"/>
      <c r="AG141" s="4"/>
      <c r="AH141" s="4"/>
      <c r="AI141" s="4"/>
      <c r="AJ141" s="4"/>
      <c r="AK141" s="4"/>
      <c r="AL141" s="4"/>
      <c r="AM141" s="4"/>
      <c r="AN141" s="4"/>
    </row>
    <row r="142" ht="15.75" customHeight="1">
      <c r="A142" s="6">
        <v>41383.0</v>
      </c>
      <c r="B142" s="7">
        <v>6.0</v>
      </c>
      <c r="C142" s="1" t="s">
        <v>8</v>
      </c>
      <c r="D142" s="1" t="s">
        <v>21</v>
      </c>
      <c r="E142" s="1" t="s">
        <v>12</v>
      </c>
      <c r="F142" s="1" t="s">
        <v>11</v>
      </c>
      <c r="G142" s="4">
        <v>4.0</v>
      </c>
      <c r="H142" s="9">
        <v>159.23</v>
      </c>
      <c r="I142" s="4"/>
      <c r="J142" s="4"/>
      <c r="K142" s="4"/>
      <c r="L142" s="4"/>
      <c r="M142" s="4"/>
      <c r="N142" s="4"/>
      <c r="O142" s="4"/>
      <c r="P142" s="4"/>
      <c r="Q142" s="4"/>
      <c r="R142" s="4"/>
      <c r="S142" s="4"/>
      <c r="T142" s="4"/>
      <c r="U142" s="4"/>
      <c r="V142" s="4"/>
      <c r="W142" s="4"/>
      <c r="X142" s="4"/>
      <c r="Y142" s="4"/>
      <c r="Z142" s="4"/>
      <c r="AA142" s="4"/>
      <c r="AB142" s="4"/>
      <c r="AC142" s="4"/>
      <c r="AD142" s="4"/>
      <c r="AE142" s="9"/>
      <c r="AF142" s="4"/>
      <c r="AG142" s="4"/>
      <c r="AH142" s="4"/>
      <c r="AI142" s="4"/>
      <c r="AJ142" s="4"/>
      <c r="AK142" s="4"/>
      <c r="AL142" s="4"/>
      <c r="AM142" s="4"/>
      <c r="AN142" s="4"/>
    </row>
    <row r="143" ht="15.75" customHeight="1">
      <c r="A143" s="6">
        <v>41383.0</v>
      </c>
      <c r="B143" s="7">
        <v>6.0</v>
      </c>
      <c r="C143" s="1" t="s">
        <v>14</v>
      </c>
      <c r="D143" s="1" t="s">
        <v>21</v>
      </c>
      <c r="E143" s="1" t="s">
        <v>12</v>
      </c>
      <c r="F143" s="1" t="s">
        <v>11</v>
      </c>
      <c r="G143" s="4">
        <v>2.0</v>
      </c>
      <c r="H143" s="9">
        <v>82.43</v>
      </c>
      <c r="I143" s="4"/>
      <c r="J143" s="4"/>
      <c r="K143" s="4"/>
      <c r="L143" s="4"/>
      <c r="M143" s="4"/>
      <c r="N143" s="4"/>
      <c r="O143" s="4"/>
      <c r="P143" s="4"/>
      <c r="Q143" s="4"/>
      <c r="R143" s="4"/>
      <c r="S143" s="4"/>
      <c r="T143" s="4"/>
      <c r="U143" s="4"/>
      <c r="V143" s="4"/>
      <c r="W143" s="4"/>
      <c r="X143" s="4"/>
      <c r="Y143" s="4"/>
      <c r="Z143" s="4"/>
      <c r="AA143" s="4"/>
      <c r="AB143" s="4"/>
      <c r="AC143" s="4"/>
      <c r="AD143" s="4"/>
      <c r="AE143" s="9"/>
      <c r="AF143" s="4"/>
      <c r="AG143" s="4"/>
      <c r="AH143" s="4"/>
      <c r="AI143" s="4"/>
      <c r="AJ143" s="4"/>
      <c r="AK143" s="4"/>
      <c r="AL143" s="4"/>
      <c r="AM143" s="4"/>
      <c r="AN143" s="4"/>
    </row>
    <row r="144" ht="15.75" customHeight="1">
      <c r="A144" s="6">
        <v>41383.0</v>
      </c>
      <c r="B144" s="7">
        <v>6.0</v>
      </c>
      <c r="C144" s="1" t="s">
        <v>15</v>
      </c>
      <c r="D144" s="1" t="s">
        <v>18</v>
      </c>
      <c r="E144" s="1" t="s">
        <v>12</v>
      </c>
      <c r="F144" s="1" t="s">
        <v>19</v>
      </c>
      <c r="G144" s="4">
        <v>4.0</v>
      </c>
      <c r="H144" s="9">
        <v>99.42</v>
      </c>
      <c r="I144" s="4"/>
      <c r="J144" s="4"/>
      <c r="K144" s="4"/>
      <c r="L144" s="4"/>
      <c r="M144" s="4"/>
      <c r="N144" s="4"/>
      <c r="O144" s="4"/>
      <c r="P144" s="4"/>
      <c r="Q144" s="4"/>
      <c r="R144" s="4"/>
      <c r="S144" s="4"/>
      <c r="T144" s="4"/>
      <c r="U144" s="4"/>
      <c r="V144" s="4"/>
      <c r="W144" s="4"/>
      <c r="X144" s="4"/>
      <c r="Y144" s="4"/>
      <c r="Z144" s="4"/>
      <c r="AA144" s="4"/>
      <c r="AB144" s="4"/>
      <c r="AC144" s="4"/>
      <c r="AD144" s="4"/>
      <c r="AE144" s="9"/>
      <c r="AF144" s="4"/>
      <c r="AG144" s="4"/>
      <c r="AH144" s="4"/>
      <c r="AI144" s="4"/>
      <c r="AJ144" s="4"/>
      <c r="AK144" s="4"/>
      <c r="AL144" s="4"/>
      <c r="AM144" s="4"/>
      <c r="AN144" s="4"/>
    </row>
    <row r="145" ht="15.75" customHeight="1">
      <c r="A145" s="6">
        <v>41384.0</v>
      </c>
      <c r="B145" s="7">
        <v>7.0</v>
      </c>
      <c r="C145" s="1" t="s">
        <v>14</v>
      </c>
      <c r="D145" s="1" t="s">
        <v>18</v>
      </c>
      <c r="E145" s="8" t="s">
        <v>17</v>
      </c>
      <c r="F145" s="1" t="s">
        <v>19</v>
      </c>
      <c r="G145" s="4">
        <v>3.0</v>
      </c>
      <c r="H145" s="9">
        <v>79.32</v>
      </c>
      <c r="I145" s="4"/>
      <c r="J145" s="4"/>
      <c r="K145" s="4"/>
      <c r="L145" s="4"/>
      <c r="M145" s="4"/>
      <c r="N145" s="4"/>
      <c r="O145" s="4"/>
      <c r="P145" s="4"/>
      <c r="Q145" s="4"/>
      <c r="R145" s="4"/>
      <c r="S145" s="4"/>
      <c r="T145" s="4"/>
      <c r="U145" s="4"/>
      <c r="V145" s="4"/>
      <c r="W145" s="4"/>
      <c r="X145" s="4"/>
      <c r="Y145" s="4"/>
      <c r="Z145" s="4"/>
      <c r="AA145" s="4"/>
      <c r="AB145" s="4"/>
      <c r="AC145" s="4"/>
      <c r="AD145" s="4"/>
      <c r="AE145" s="9"/>
      <c r="AF145" s="4"/>
      <c r="AG145" s="4"/>
      <c r="AH145" s="4"/>
      <c r="AI145" s="4"/>
      <c r="AJ145" s="4"/>
      <c r="AK145" s="4"/>
      <c r="AL145" s="4"/>
      <c r="AM145" s="4"/>
      <c r="AN145" s="4"/>
    </row>
    <row r="146" ht="15.75" customHeight="1">
      <c r="A146" s="6">
        <v>41384.0</v>
      </c>
      <c r="B146" s="7">
        <v>7.0</v>
      </c>
      <c r="C146" s="1" t="s">
        <v>15</v>
      </c>
      <c r="D146" s="1" t="s">
        <v>20</v>
      </c>
      <c r="E146" s="1" t="s">
        <v>10</v>
      </c>
      <c r="F146" s="1" t="s">
        <v>19</v>
      </c>
      <c r="G146" s="4">
        <v>3.0</v>
      </c>
      <c r="H146" s="9">
        <v>160.01</v>
      </c>
      <c r="I146" s="4"/>
      <c r="J146" s="4"/>
      <c r="K146" s="4"/>
      <c r="L146" s="4"/>
      <c r="M146" s="4"/>
      <c r="N146" s="4"/>
      <c r="O146" s="4"/>
      <c r="P146" s="4"/>
      <c r="Q146" s="4"/>
      <c r="R146" s="4"/>
      <c r="S146" s="4"/>
      <c r="T146" s="4"/>
      <c r="U146" s="4"/>
      <c r="V146" s="4"/>
      <c r="W146" s="4"/>
      <c r="X146" s="4"/>
      <c r="Y146" s="4"/>
      <c r="Z146" s="4"/>
      <c r="AA146" s="4"/>
      <c r="AB146" s="4"/>
      <c r="AC146" s="4"/>
      <c r="AD146" s="4"/>
      <c r="AE146" s="9"/>
      <c r="AF146" s="4"/>
      <c r="AG146" s="4"/>
      <c r="AH146" s="4"/>
      <c r="AI146" s="4"/>
      <c r="AJ146" s="4"/>
      <c r="AK146" s="4"/>
      <c r="AL146" s="4"/>
      <c r="AM146" s="4"/>
      <c r="AN146" s="4"/>
    </row>
    <row r="147" ht="15.75" customHeight="1">
      <c r="A147" s="6">
        <v>41384.0</v>
      </c>
      <c r="B147" s="7">
        <v>7.0</v>
      </c>
      <c r="C147" s="1" t="s">
        <v>15</v>
      </c>
      <c r="D147" s="1" t="s">
        <v>9</v>
      </c>
      <c r="E147" s="1" t="s">
        <v>10</v>
      </c>
      <c r="F147" s="1" t="s">
        <v>19</v>
      </c>
      <c r="G147" s="4">
        <v>2.0</v>
      </c>
      <c r="H147" s="9">
        <v>51.99</v>
      </c>
      <c r="I147" s="4"/>
      <c r="J147" s="4"/>
      <c r="K147" s="4"/>
      <c r="L147" s="4"/>
      <c r="M147" s="4"/>
      <c r="N147" s="4"/>
      <c r="O147" s="4"/>
      <c r="P147" s="4"/>
      <c r="Q147" s="4"/>
      <c r="R147" s="4"/>
      <c r="S147" s="4"/>
      <c r="T147" s="4"/>
      <c r="U147" s="4"/>
      <c r="V147" s="4"/>
      <c r="W147" s="4"/>
      <c r="X147" s="4"/>
      <c r="Y147" s="4"/>
      <c r="Z147" s="4"/>
      <c r="AA147" s="4"/>
      <c r="AB147" s="4"/>
      <c r="AC147" s="4"/>
      <c r="AD147" s="4"/>
      <c r="AE147" s="9"/>
      <c r="AF147" s="4"/>
      <c r="AG147" s="4"/>
      <c r="AH147" s="4"/>
      <c r="AI147" s="4"/>
      <c r="AJ147" s="4"/>
      <c r="AK147" s="4"/>
      <c r="AL147" s="4"/>
      <c r="AM147" s="4"/>
      <c r="AN147" s="4"/>
    </row>
    <row r="148" ht="15.75" customHeight="1">
      <c r="A148" s="6">
        <v>41385.0</v>
      </c>
      <c r="B148" s="7">
        <v>1.0</v>
      </c>
      <c r="C148" s="1" t="s">
        <v>8</v>
      </c>
      <c r="D148" s="1" t="s">
        <v>9</v>
      </c>
      <c r="E148" s="1" t="s">
        <v>10</v>
      </c>
      <c r="F148" s="1" t="s">
        <v>11</v>
      </c>
      <c r="G148" s="4">
        <v>8.0</v>
      </c>
      <c r="H148" s="9">
        <v>267.67</v>
      </c>
      <c r="I148" s="4"/>
      <c r="J148" s="4"/>
      <c r="K148" s="4"/>
      <c r="L148" s="4"/>
      <c r="M148" s="4"/>
      <c r="N148" s="4"/>
      <c r="O148" s="4"/>
      <c r="P148" s="4"/>
      <c r="Q148" s="4"/>
      <c r="R148" s="4"/>
      <c r="S148" s="4"/>
      <c r="T148" s="4"/>
      <c r="U148" s="4"/>
      <c r="V148" s="4"/>
      <c r="W148" s="4"/>
      <c r="X148" s="4"/>
      <c r="Y148" s="4"/>
      <c r="Z148" s="4"/>
      <c r="AA148" s="4"/>
      <c r="AB148" s="4"/>
      <c r="AC148" s="4"/>
      <c r="AD148" s="4"/>
      <c r="AE148" s="9"/>
      <c r="AF148" s="4"/>
      <c r="AG148" s="4"/>
      <c r="AH148" s="4"/>
      <c r="AI148" s="4"/>
      <c r="AJ148" s="4"/>
      <c r="AK148" s="4"/>
      <c r="AL148" s="4"/>
      <c r="AM148" s="4"/>
      <c r="AN148" s="4"/>
    </row>
    <row r="149" ht="15.75" customHeight="1">
      <c r="A149" s="6">
        <v>41385.0</v>
      </c>
      <c r="B149" s="7">
        <v>1.0</v>
      </c>
      <c r="C149" s="1" t="s">
        <v>14</v>
      </c>
      <c r="D149" s="1" t="s">
        <v>18</v>
      </c>
      <c r="E149" s="8" t="s">
        <v>12</v>
      </c>
      <c r="F149" s="1" t="s">
        <v>11</v>
      </c>
      <c r="G149" s="4">
        <v>9.0</v>
      </c>
      <c r="H149" s="9">
        <v>429.22</v>
      </c>
      <c r="I149" s="4"/>
      <c r="J149" s="4"/>
      <c r="K149" s="4"/>
      <c r="L149" s="4"/>
      <c r="M149" s="4"/>
      <c r="N149" s="4"/>
      <c r="O149" s="4"/>
      <c r="P149" s="4"/>
      <c r="Q149" s="4"/>
      <c r="R149" s="4"/>
      <c r="S149" s="4"/>
      <c r="T149" s="4"/>
      <c r="U149" s="4"/>
      <c r="V149" s="4"/>
      <c r="W149" s="4"/>
      <c r="X149" s="4"/>
      <c r="Y149" s="4"/>
      <c r="Z149" s="4"/>
      <c r="AA149" s="4"/>
      <c r="AB149" s="4"/>
      <c r="AC149" s="4"/>
      <c r="AD149" s="4"/>
      <c r="AE149" s="9"/>
      <c r="AF149" s="4"/>
      <c r="AG149" s="4"/>
      <c r="AH149" s="4"/>
      <c r="AI149" s="4"/>
      <c r="AJ149" s="4"/>
      <c r="AK149" s="4"/>
      <c r="AL149" s="4"/>
      <c r="AM149" s="4"/>
      <c r="AN149" s="4"/>
    </row>
    <row r="150" ht="15.75" customHeight="1">
      <c r="A150" s="6">
        <v>41385.0</v>
      </c>
      <c r="B150" s="7">
        <v>1.0</v>
      </c>
      <c r="C150" s="1" t="s">
        <v>14</v>
      </c>
      <c r="D150" s="1" t="s">
        <v>18</v>
      </c>
      <c r="E150" s="1" t="s">
        <v>17</v>
      </c>
      <c r="F150" s="1" t="s">
        <v>11</v>
      </c>
      <c r="G150" s="4">
        <v>1.0</v>
      </c>
      <c r="H150" s="9">
        <v>46.2</v>
      </c>
      <c r="I150" s="4"/>
      <c r="J150" s="4"/>
      <c r="K150" s="4"/>
      <c r="L150" s="4"/>
      <c r="M150" s="4"/>
      <c r="N150" s="4"/>
      <c r="O150" s="4"/>
      <c r="P150" s="4"/>
      <c r="Q150" s="4"/>
      <c r="R150" s="4"/>
      <c r="S150" s="4"/>
      <c r="T150" s="4"/>
      <c r="U150" s="4"/>
      <c r="V150" s="4"/>
      <c r="W150" s="4"/>
      <c r="X150" s="4"/>
      <c r="Y150" s="4"/>
      <c r="Z150" s="4"/>
      <c r="AA150" s="4"/>
      <c r="AB150" s="4"/>
      <c r="AC150" s="4"/>
      <c r="AD150" s="4"/>
      <c r="AE150" s="9"/>
      <c r="AF150" s="4"/>
      <c r="AG150" s="4"/>
      <c r="AH150" s="4"/>
      <c r="AI150" s="4"/>
      <c r="AJ150" s="4"/>
      <c r="AK150" s="4"/>
      <c r="AL150" s="4"/>
      <c r="AM150" s="4"/>
      <c r="AN150" s="4"/>
    </row>
    <row r="151" ht="15.75" customHeight="1">
      <c r="A151" s="6">
        <v>41385.0</v>
      </c>
      <c r="B151" s="7">
        <v>1.0</v>
      </c>
      <c r="C151" s="1" t="s">
        <v>14</v>
      </c>
      <c r="D151" s="1" t="s">
        <v>18</v>
      </c>
      <c r="E151" s="1" t="s">
        <v>10</v>
      </c>
      <c r="F151" s="1" t="s">
        <v>11</v>
      </c>
      <c r="G151" s="4">
        <v>5.0</v>
      </c>
      <c r="H151" s="9">
        <v>240.02</v>
      </c>
      <c r="I151" s="4"/>
      <c r="J151" s="4"/>
      <c r="K151" s="4"/>
      <c r="L151" s="4"/>
      <c r="M151" s="4"/>
      <c r="N151" s="4"/>
      <c r="O151" s="4"/>
      <c r="P151" s="4"/>
      <c r="Q151" s="4"/>
      <c r="R151" s="4"/>
      <c r="S151" s="4"/>
      <c r="T151" s="4"/>
      <c r="U151" s="4"/>
      <c r="V151" s="4"/>
      <c r="W151" s="4"/>
      <c r="X151" s="4"/>
      <c r="Y151" s="4"/>
      <c r="Z151" s="4"/>
      <c r="AA151" s="4"/>
      <c r="AB151" s="4"/>
      <c r="AC151" s="4"/>
      <c r="AD151" s="4"/>
      <c r="AE151" s="9"/>
      <c r="AF151" s="4"/>
      <c r="AG151" s="4"/>
      <c r="AH151" s="4"/>
      <c r="AI151" s="4"/>
      <c r="AJ151" s="4"/>
      <c r="AK151" s="4"/>
      <c r="AL151" s="4"/>
      <c r="AM151" s="4"/>
      <c r="AN151" s="4"/>
    </row>
    <row r="152" ht="15.75" customHeight="1">
      <c r="A152" s="6">
        <v>41386.0</v>
      </c>
      <c r="B152" s="7">
        <v>2.0</v>
      </c>
      <c r="C152" s="1" t="s">
        <v>8</v>
      </c>
      <c r="D152" s="1" t="s">
        <v>20</v>
      </c>
      <c r="E152" s="8" t="s">
        <v>17</v>
      </c>
      <c r="F152" s="1" t="s">
        <v>19</v>
      </c>
      <c r="G152" s="4">
        <v>4.0</v>
      </c>
      <c r="H152" s="9">
        <v>157.14</v>
      </c>
      <c r="I152" s="4"/>
      <c r="J152" s="4"/>
      <c r="K152" s="4"/>
      <c r="L152" s="4"/>
      <c r="M152" s="4"/>
      <c r="N152" s="4"/>
      <c r="O152" s="4"/>
      <c r="P152" s="4"/>
      <c r="Q152" s="4"/>
      <c r="R152" s="4"/>
      <c r="S152" s="4"/>
      <c r="T152" s="4"/>
      <c r="U152" s="4"/>
      <c r="V152" s="4"/>
      <c r="W152" s="4"/>
      <c r="X152" s="4"/>
      <c r="Y152" s="4"/>
      <c r="Z152" s="4"/>
      <c r="AA152" s="4"/>
      <c r="AB152" s="4"/>
      <c r="AC152" s="4"/>
      <c r="AD152" s="4"/>
      <c r="AE152" s="9"/>
      <c r="AF152" s="4"/>
      <c r="AG152" s="4"/>
      <c r="AH152" s="4"/>
      <c r="AI152" s="4"/>
      <c r="AJ152" s="4"/>
      <c r="AK152" s="4"/>
      <c r="AL152" s="4"/>
      <c r="AM152" s="4"/>
      <c r="AN152" s="4"/>
    </row>
    <row r="153" ht="15.75" customHeight="1">
      <c r="A153" s="6">
        <v>41386.0</v>
      </c>
      <c r="B153" s="7">
        <v>2.0</v>
      </c>
      <c r="C153" s="1" t="s">
        <v>14</v>
      </c>
      <c r="D153" s="1" t="s">
        <v>21</v>
      </c>
      <c r="E153" s="1" t="s">
        <v>12</v>
      </c>
      <c r="F153" s="1" t="s">
        <v>11</v>
      </c>
      <c r="G153" s="4">
        <v>5.0</v>
      </c>
      <c r="H153" s="9">
        <v>140.4</v>
      </c>
      <c r="I153" s="4"/>
      <c r="J153" s="4"/>
      <c r="K153" s="4"/>
      <c r="L153" s="4"/>
      <c r="M153" s="4"/>
      <c r="N153" s="4"/>
      <c r="O153" s="4"/>
      <c r="P153" s="4"/>
      <c r="Q153" s="4"/>
      <c r="R153" s="4"/>
      <c r="S153" s="4"/>
      <c r="T153" s="4"/>
      <c r="U153" s="4"/>
      <c r="V153" s="4"/>
      <c r="W153" s="4"/>
      <c r="X153" s="4"/>
      <c r="Y153" s="4"/>
      <c r="Z153" s="4"/>
      <c r="AA153" s="4"/>
      <c r="AB153" s="4"/>
      <c r="AC153" s="4"/>
      <c r="AD153" s="4"/>
      <c r="AE153" s="9"/>
      <c r="AF153" s="4"/>
      <c r="AG153" s="4"/>
      <c r="AH153" s="4"/>
      <c r="AI153" s="4"/>
      <c r="AJ153" s="4"/>
      <c r="AK153" s="4"/>
      <c r="AL153" s="4"/>
      <c r="AM153" s="4"/>
      <c r="AN153" s="4"/>
    </row>
    <row r="154" ht="15.75" customHeight="1">
      <c r="A154" s="6">
        <v>41386.0</v>
      </c>
      <c r="B154" s="7">
        <v>2.0</v>
      </c>
      <c r="C154" s="1" t="s">
        <v>15</v>
      </c>
      <c r="D154" s="1" t="s">
        <v>18</v>
      </c>
      <c r="E154" s="8" t="s">
        <v>12</v>
      </c>
      <c r="F154" s="1" t="s">
        <v>19</v>
      </c>
      <c r="G154" s="4">
        <v>5.0</v>
      </c>
      <c r="H154" s="9">
        <v>204.93</v>
      </c>
      <c r="I154" s="4"/>
      <c r="J154" s="4"/>
      <c r="K154" s="4"/>
      <c r="L154" s="4"/>
      <c r="M154" s="4"/>
      <c r="N154" s="4"/>
      <c r="O154" s="4"/>
      <c r="P154" s="4"/>
      <c r="Q154" s="4"/>
      <c r="R154" s="4"/>
      <c r="S154" s="4"/>
      <c r="T154" s="4"/>
      <c r="U154" s="4"/>
      <c r="V154" s="4"/>
      <c r="W154" s="4"/>
      <c r="X154" s="4"/>
      <c r="Y154" s="4"/>
      <c r="Z154" s="4"/>
      <c r="AA154" s="4"/>
      <c r="AB154" s="4"/>
      <c r="AC154" s="4"/>
      <c r="AD154" s="4"/>
      <c r="AE154" s="9"/>
      <c r="AF154" s="4"/>
      <c r="AG154" s="4"/>
      <c r="AH154" s="4"/>
      <c r="AI154" s="4"/>
      <c r="AJ154" s="4"/>
      <c r="AK154" s="4"/>
      <c r="AL154" s="4"/>
      <c r="AM154" s="4"/>
      <c r="AN154" s="4"/>
    </row>
    <row r="155" ht="15.75" customHeight="1">
      <c r="A155" s="6">
        <v>41387.0</v>
      </c>
      <c r="B155" s="7">
        <v>3.0</v>
      </c>
      <c r="C155" s="1" t="s">
        <v>8</v>
      </c>
      <c r="D155" s="1" t="s">
        <v>20</v>
      </c>
      <c r="E155" s="1" t="s">
        <v>10</v>
      </c>
      <c r="F155" s="1" t="s">
        <v>11</v>
      </c>
      <c r="G155" s="4">
        <v>2.0</v>
      </c>
      <c r="H155" s="9">
        <v>88.18</v>
      </c>
      <c r="I155" s="4"/>
      <c r="J155" s="4"/>
      <c r="K155" s="4"/>
      <c r="L155" s="4"/>
      <c r="M155" s="4"/>
      <c r="N155" s="4"/>
      <c r="O155" s="4"/>
      <c r="P155" s="4"/>
      <c r="Q155" s="4"/>
      <c r="R155" s="4"/>
      <c r="S155" s="4"/>
      <c r="T155" s="4"/>
      <c r="U155" s="4"/>
      <c r="V155" s="4"/>
      <c r="W155" s="4"/>
      <c r="X155" s="4"/>
      <c r="Y155" s="4"/>
      <c r="Z155" s="4"/>
      <c r="AA155" s="4"/>
      <c r="AB155" s="4"/>
      <c r="AC155" s="4"/>
      <c r="AD155" s="4"/>
      <c r="AE155" s="9"/>
      <c r="AF155" s="4"/>
      <c r="AG155" s="4"/>
      <c r="AH155" s="4"/>
      <c r="AI155" s="4"/>
      <c r="AJ155" s="4"/>
      <c r="AK155" s="4"/>
      <c r="AL155" s="4"/>
      <c r="AM155" s="4"/>
      <c r="AN155" s="4"/>
    </row>
    <row r="156" ht="15.75" customHeight="1">
      <c r="A156" s="6">
        <v>41387.0</v>
      </c>
      <c r="B156" s="7">
        <v>3.0</v>
      </c>
      <c r="C156" s="1" t="s">
        <v>14</v>
      </c>
      <c r="D156" s="1" t="s">
        <v>20</v>
      </c>
      <c r="E156" s="1" t="s">
        <v>17</v>
      </c>
      <c r="F156" s="1" t="s">
        <v>11</v>
      </c>
      <c r="G156" s="4">
        <v>3.0</v>
      </c>
      <c r="H156" s="9">
        <v>95.47</v>
      </c>
      <c r="I156" s="4"/>
      <c r="J156" s="4"/>
      <c r="K156" s="4"/>
      <c r="L156" s="4"/>
      <c r="M156" s="4"/>
      <c r="N156" s="4"/>
      <c r="O156" s="4"/>
      <c r="P156" s="4"/>
      <c r="Q156" s="4"/>
      <c r="R156" s="4"/>
      <c r="S156" s="4"/>
      <c r="T156" s="4"/>
      <c r="U156" s="4"/>
      <c r="V156" s="4"/>
      <c r="W156" s="4"/>
      <c r="X156" s="4"/>
      <c r="Y156" s="4"/>
      <c r="Z156" s="4"/>
      <c r="AA156" s="4"/>
      <c r="AB156" s="4"/>
      <c r="AC156" s="4"/>
      <c r="AD156" s="4"/>
      <c r="AE156" s="9"/>
      <c r="AF156" s="4"/>
      <c r="AG156" s="4"/>
      <c r="AH156" s="4"/>
      <c r="AI156" s="4"/>
      <c r="AJ156" s="4"/>
      <c r="AK156" s="4"/>
      <c r="AL156" s="4"/>
      <c r="AM156" s="4"/>
      <c r="AN156" s="4"/>
    </row>
    <row r="157" ht="15.75" customHeight="1">
      <c r="A157" s="6">
        <v>41388.0</v>
      </c>
      <c r="B157" s="7">
        <v>4.0</v>
      </c>
      <c r="C157" s="1" t="s">
        <v>8</v>
      </c>
      <c r="D157" s="1" t="s">
        <v>20</v>
      </c>
      <c r="E157" s="8" t="s">
        <v>12</v>
      </c>
      <c r="F157" s="1" t="s">
        <v>11</v>
      </c>
      <c r="G157" s="4">
        <v>5.0</v>
      </c>
      <c r="H157" s="9">
        <v>224.73</v>
      </c>
      <c r="I157" s="4"/>
      <c r="J157" s="4"/>
      <c r="K157" s="4"/>
      <c r="L157" s="4"/>
      <c r="M157" s="4"/>
      <c r="N157" s="4"/>
      <c r="O157" s="4"/>
      <c r="P157" s="4"/>
      <c r="Q157" s="4"/>
      <c r="R157" s="4"/>
      <c r="S157" s="4"/>
      <c r="T157" s="4"/>
      <c r="U157" s="4"/>
      <c r="V157" s="4"/>
      <c r="W157" s="4"/>
      <c r="X157" s="4"/>
      <c r="Y157" s="4"/>
      <c r="Z157" s="4"/>
      <c r="AA157" s="4"/>
      <c r="AB157" s="4"/>
      <c r="AC157" s="4"/>
      <c r="AD157" s="4"/>
      <c r="AE157" s="9"/>
      <c r="AF157" s="4"/>
      <c r="AG157" s="4"/>
      <c r="AH157" s="4"/>
      <c r="AI157" s="4"/>
      <c r="AJ157" s="4"/>
      <c r="AK157" s="4"/>
      <c r="AL157" s="4"/>
      <c r="AM157" s="4"/>
      <c r="AN157" s="4"/>
    </row>
    <row r="158" ht="15.75" customHeight="1">
      <c r="A158" s="6">
        <v>41388.0</v>
      </c>
      <c r="B158" s="7">
        <v>4.0</v>
      </c>
      <c r="C158" s="1" t="s">
        <v>8</v>
      </c>
      <c r="D158" s="1" t="s">
        <v>9</v>
      </c>
      <c r="E158" s="8" t="s">
        <v>12</v>
      </c>
      <c r="F158" s="1" t="s">
        <v>11</v>
      </c>
      <c r="G158" s="4">
        <v>8.0</v>
      </c>
      <c r="H158" s="9">
        <v>344.73</v>
      </c>
      <c r="I158" s="4"/>
      <c r="J158" s="4"/>
      <c r="K158" s="4"/>
      <c r="L158" s="4"/>
      <c r="M158" s="4"/>
      <c r="N158" s="4"/>
      <c r="O158" s="4"/>
      <c r="P158" s="4"/>
      <c r="Q158" s="4"/>
      <c r="R158" s="4"/>
      <c r="S158" s="4"/>
      <c r="T158" s="4"/>
      <c r="U158" s="4"/>
      <c r="V158" s="4"/>
      <c r="W158" s="4"/>
      <c r="X158" s="4"/>
      <c r="Y158" s="4"/>
      <c r="Z158" s="4"/>
      <c r="AA158" s="4"/>
      <c r="AB158" s="4"/>
      <c r="AC158" s="4"/>
      <c r="AD158" s="4"/>
      <c r="AE158" s="9"/>
      <c r="AF158" s="4"/>
      <c r="AG158" s="4"/>
      <c r="AH158" s="4"/>
      <c r="AI158" s="4"/>
      <c r="AJ158" s="4"/>
      <c r="AK158" s="4"/>
      <c r="AL158" s="4"/>
      <c r="AM158" s="4"/>
      <c r="AN158" s="4"/>
    </row>
    <row r="159" ht="15.75" customHeight="1">
      <c r="A159" s="6">
        <v>41388.0</v>
      </c>
      <c r="B159" s="7">
        <v>4.0</v>
      </c>
      <c r="C159" s="1" t="s">
        <v>14</v>
      </c>
      <c r="D159" s="1" t="s">
        <v>18</v>
      </c>
      <c r="E159" s="1" t="s">
        <v>10</v>
      </c>
      <c r="F159" s="1" t="s">
        <v>11</v>
      </c>
      <c r="G159" s="4">
        <v>4.0</v>
      </c>
      <c r="H159" s="9">
        <v>185.32</v>
      </c>
      <c r="I159" s="4"/>
      <c r="J159" s="4"/>
      <c r="K159" s="4"/>
      <c r="L159" s="4"/>
      <c r="M159" s="4"/>
      <c r="N159" s="4"/>
      <c r="O159" s="4"/>
      <c r="P159" s="4"/>
      <c r="Q159" s="4"/>
      <c r="R159" s="4"/>
      <c r="S159" s="4"/>
      <c r="T159" s="4"/>
      <c r="U159" s="4"/>
      <c r="V159" s="4"/>
      <c r="W159" s="4"/>
      <c r="X159" s="4"/>
      <c r="Y159" s="4"/>
      <c r="Z159" s="4"/>
      <c r="AA159" s="4"/>
      <c r="AB159" s="4"/>
      <c r="AC159" s="4"/>
      <c r="AD159" s="4"/>
      <c r="AE159" s="9"/>
      <c r="AF159" s="4"/>
      <c r="AG159" s="4"/>
      <c r="AH159" s="4"/>
      <c r="AI159" s="4"/>
      <c r="AJ159" s="4"/>
      <c r="AK159" s="4"/>
      <c r="AL159" s="4"/>
      <c r="AM159" s="4"/>
      <c r="AN159" s="4"/>
    </row>
    <row r="160" ht="15.75" customHeight="1">
      <c r="A160" s="6">
        <v>41388.0</v>
      </c>
      <c r="B160" s="7">
        <v>4.0</v>
      </c>
      <c r="C160" s="1" t="s">
        <v>14</v>
      </c>
      <c r="D160" s="1" t="s">
        <v>20</v>
      </c>
      <c r="E160" s="8" t="s">
        <v>10</v>
      </c>
      <c r="F160" s="1" t="s">
        <v>11</v>
      </c>
      <c r="G160" s="4">
        <v>6.0</v>
      </c>
      <c r="H160" s="9">
        <v>297.31</v>
      </c>
      <c r="I160" s="4"/>
      <c r="J160" s="4"/>
      <c r="K160" s="4"/>
      <c r="L160" s="4"/>
      <c r="M160" s="4"/>
      <c r="N160" s="4"/>
      <c r="O160" s="4"/>
      <c r="P160" s="4"/>
      <c r="Q160" s="4"/>
      <c r="R160" s="4"/>
      <c r="S160" s="4"/>
      <c r="T160" s="4"/>
      <c r="U160" s="4"/>
      <c r="V160" s="4"/>
      <c r="W160" s="4"/>
      <c r="X160" s="4"/>
      <c r="Y160" s="4"/>
      <c r="Z160" s="4"/>
      <c r="AA160" s="4"/>
      <c r="AB160" s="4"/>
      <c r="AC160" s="4"/>
      <c r="AD160" s="4"/>
      <c r="AE160" s="9"/>
      <c r="AF160" s="4"/>
      <c r="AG160" s="4"/>
      <c r="AH160" s="4"/>
      <c r="AI160" s="4"/>
      <c r="AJ160" s="4"/>
      <c r="AK160" s="4"/>
      <c r="AL160" s="4"/>
      <c r="AM160" s="4"/>
      <c r="AN160" s="4"/>
    </row>
    <row r="161" ht="15.75" customHeight="1">
      <c r="A161" s="6">
        <v>41388.0</v>
      </c>
      <c r="B161" s="7">
        <v>4.0</v>
      </c>
      <c r="C161" s="1" t="s">
        <v>15</v>
      </c>
      <c r="D161" s="1" t="s">
        <v>20</v>
      </c>
      <c r="E161" s="1" t="s">
        <v>17</v>
      </c>
      <c r="F161" s="1" t="s">
        <v>19</v>
      </c>
      <c r="G161" s="4">
        <v>4.0</v>
      </c>
      <c r="H161" s="9">
        <v>223.32</v>
      </c>
      <c r="I161" s="4"/>
      <c r="J161" s="4"/>
      <c r="K161" s="4"/>
      <c r="L161" s="4"/>
      <c r="M161" s="4"/>
      <c r="N161" s="4"/>
      <c r="O161" s="4"/>
      <c r="P161" s="4"/>
      <c r="Q161" s="4"/>
      <c r="R161" s="4"/>
      <c r="S161" s="4"/>
      <c r="T161" s="4"/>
      <c r="U161" s="4"/>
      <c r="V161" s="4"/>
      <c r="W161" s="4"/>
      <c r="X161" s="4"/>
      <c r="Y161" s="4"/>
      <c r="Z161" s="4"/>
      <c r="AA161" s="4"/>
      <c r="AB161" s="4"/>
      <c r="AC161" s="4"/>
      <c r="AD161" s="4"/>
      <c r="AE161" s="9"/>
      <c r="AF161" s="4"/>
      <c r="AG161" s="4"/>
      <c r="AH161" s="4"/>
      <c r="AI161" s="4"/>
      <c r="AJ161" s="4"/>
      <c r="AK161" s="4"/>
      <c r="AL161" s="4"/>
      <c r="AM161" s="4"/>
      <c r="AN161" s="4"/>
    </row>
    <row r="162" ht="15.75" customHeight="1">
      <c r="A162" s="6">
        <v>41388.0</v>
      </c>
      <c r="B162" s="7">
        <v>4.0</v>
      </c>
      <c r="C162" s="1" t="s">
        <v>15</v>
      </c>
      <c r="D162" s="1" t="s">
        <v>20</v>
      </c>
      <c r="E162" s="8" t="s">
        <v>10</v>
      </c>
      <c r="F162" s="1" t="s">
        <v>11</v>
      </c>
      <c r="G162" s="4">
        <v>3.0</v>
      </c>
      <c r="H162" s="9">
        <v>164.4</v>
      </c>
      <c r="I162" s="4"/>
      <c r="J162" s="4"/>
      <c r="K162" s="4"/>
      <c r="L162" s="4"/>
      <c r="M162" s="4"/>
      <c r="N162" s="4"/>
      <c r="O162" s="4"/>
      <c r="P162" s="4"/>
      <c r="Q162" s="4"/>
      <c r="R162" s="4"/>
      <c r="S162" s="4"/>
      <c r="T162" s="4"/>
      <c r="U162" s="4"/>
      <c r="V162" s="4"/>
      <c r="W162" s="4"/>
      <c r="X162" s="4"/>
      <c r="Y162" s="4"/>
      <c r="Z162" s="4"/>
      <c r="AA162" s="4"/>
      <c r="AB162" s="4"/>
      <c r="AC162" s="4"/>
      <c r="AD162" s="4"/>
      <c r="AE162" s="9"/>
      <c r="AF162" s="4"/>
      <c r="AG162" s="4"/>
      <c r="AH162" s="4"/>
      <c r="AI162" s="4"/>
      <c r="AJ162" s="4"/>
      <c r="AK162" s="4"/>
      <c r="AL162" s="4"/>
      <c r="AM162" s="4"/>
      <c r="AN162" s="4"/>
    </row>
    <row r="163" ht="15.75" customHeight="1">
      <c r="A163" s="6">
        <v>41389.0</v>
      </c>
      <c r="B163" s="7">
        <v>5.0</v>
      </c>
      <c r="C163" s="1" t="s">
        <v>8</v>
      </c>
      <c r="D163" s="1" t="s">
        <v>9</v>
      </c>
      <c r="E163" s="8" t="s">
        <v>12</v>
      </c>
      <c r="F163" s="1" t="s">
        <v>11</v>
      </c>
      <c r="G163" s="4">
        <v>2.0</v>
      </c>
      <c r="H163" s="9">
        <v>123.57</v>
      </c>
      <c r="I163" s="4"/>
      <c r="J163" s="4"/>
      <c r="K163" s="4"/>
      <c r="L163" s="4"/>
      <c r="M163" s="4"/>
      <c r="N163" s="4"/>
      <c r="O163" s="4"/>
      <c r="P163" s="4"/>
      <c r="Q163" s="4"/>
      <c r="R163" s="4"/>
      <c r="S163" s="4"/>
      <c r="T163" s="4"/>
      <c r="U163" s="4"/>
      <c r="V163" s="4"/>
      <c r="W163" s="4"/>
      <c r="X163" s="4"/>
      <c r="Y163" s="4"/>
      <c r="Z163" s="4"/>
      <c r="AA163" s="4"/>
      <c r="AB163" s="4"/>
      <c r="AC163" s="4"/>
      <c r="AD163" s="4"/>
      <c r="AE163" s="9"/>
      <c r="AF163" s="4"/>
      <c r="AG163" s="4"/>
      <c r="AH163" s="4"/>
      <c r="AI163" s="4"/>
      <c r="AJ163" s="4"/>
      <c r="AK163" s="4"/>
      <c r="AL163" s="4"/>
      <c r="AM163" s="4"/>
      <c r="AN163" s="4"/>
    </row>
    <row r="164" ht="15.75" customHeight="1">
      <c r="A164" s="6">
        <v>41389.0</v>
      </c>
      <c r="B164" s="7">
        <v>5.0</v>
      </c>
      <c r="C164" s="1" t="s">
        <v>15</v>
      </c>
      <c r="D164" s="1" t="s">
        <v>18</v>
      </c>
      <c r="E164" s="8" t="s">
        <v>12</v>
      </c>
      <c r="F164" s="1" t="s">
        <v>19</v>
      </c>
      <c r="G164" s="4">
        <v>5.0</v>
      </c>
      <c r="H164" s="9">
        <v>236.97</v>
      </c>
      <c r="I164" s="4"/>
      <c r="J164" s="4"/>
      <c r="K164" s="4"/>
      <c r="L164" s="4"/>
      <c r="M164" s="4"/>
      <c r="N164" s="4"/>
      <c r="O164" s="4"/>
      <c r="P164" s="4"/>
      <c r="Q164" s="4"/>
      <c r="R164" s="4"/>
      <c r="S164" s="4"/>
      <c r="T164" s="4"/>
      <c r="U164" s="4"/>
      <c r="V164" s="4"/>
      <c r="W164" s="4"/>
      <c r="X164" s="4"/>
      <c r="Y164" s="4"/>
      <c r="Z164" s="4"/>
      <c r="AA164" s="4"/>
      <c r="AB164" s="4"/>
      <c r="AC164" s="4"/>
      <c r="AD164" s="4"/>
      <c r="AE164" s="9"/>
      <c r="AF164" s="4"/>
      <c r="AG164" s="4"/>
      <c r="AH164" s="4"/>
      <c r="AI164" s="4"/>
      <c r="AJ164" s="4"/>
      <c r="AK164" s="4"/>
      <c r="AL164" s="4"/>
      <c r="AM164" s="4"/>
      <c r="AN164" s="4"/>
    </row>
    <row r="165" ht="15.75" customHeight="1">
      <c r="A165" s="6">
        <v>41390.0</v>
      </c>
      <c r="B165" s="7">
        <v>6.0</v>
      </c>
      <c r="C165" s="1" t="s">
        <v>8</v>
      </c>
      <c r="D165" s="1" t="s">
        <v>9</v>
      </c>
      <c r="E165" s="1" t="s">
        <v>10</v>
      </c>
      <c r="F165" s="1" t="s">
        <v>11</v>
      </c>
      <c r="G165" s="4">
        <v>2.0</v>
      </c>
      <c r="H165" s="9">
        <v>82.75</v>
      </c>
      <c r="I165" s="4"/>
      <c r="J165" s="4"/>
      <c r="K165" s="4"/>
      <c r="L165" s="4"/>
      <c r="M165" s="4"/>
      <c r="N165" s="4"/>
      <c r="O165" s="4"/>
      <c r="P165" s="4"/>
      <c r="Q165" s="4"/>
      <c r="R165" s="4"/>
      <c r="S165" s="4"/>
      <c r="T165" s="4"/>
      <c r="U165" s="4"/>
      <c r="V165" s="4"/>
      <c r="W165" s="4"/>
      <c r="X165" s="4"/>
      <c r="Y165" s="4"/>
      <c r="Z165" s="4"/>
      <c r="AA165" s="4"/>
      <c r="AB165" s="4"/>
      <c r="AC165" s="4"/>
      <c r="AD165" s="4"/>
      <c r="AE165" s="9"/>
      <c r="AF165" s="4"/>
      <c r="AG165" s="4"/>
      <c r="AH165" s="4"/>
      <c r="AI165" s="4"/>
      <c r="AJ165" s="4"/>
      <c r="AK165" s="4"/>
      <c r="AL165" s="4"/>
      <c r="AM165" s="4"/>
      <c r="AN165" s="4"/>
    </row>
    <row r="166" ht="15.75" customHeight="1">
      <c r="A166" s="6">
        <v>41390.0</v>
      </c>
      <c r="B166" s="7">
        <v>6.0</v>
      </c>
      <c r="C166" s="1" t="s">
        <v>8</v>
      </c>
      <c r="D166" s="1" t="s">
        <v>20</v>
      </c>
      <c r="E166" s="1" t="s">
        <v>17</v>
      </c>
      <c r="F166" s="1" t="s">
        <v>19</v>
      </c>
      <c r="G166" s="4">
        <v>6.0</v>
      </c>
      <c r="H166" s="9">
        <v>307.75</v>
      </c>
      <c r="I166" s="4"/>
      <c r="J166" s="4"/>
      <c r="K166" s="4"/>
      <c r="L166" s="4"/>
      <c r="M166" s="4"/>
      <c r="N166" s="4"/>
      <c r="O166" s="4"/>
      <c r="P166" s="4"/>
      <c r="Q166" s="4"/>
      <c r="R166" s="4"/>
      <c r="S166" s="4"/>
      <c r="T166" s="4"/>
      <c r="U166" s="4"/>
      <c r="V166" s="4"/>
      <c r="W166" s="4"/>
      <c r="X166" s="4"/>
      <c r="Y166" s="4"/>
      <c r="Z166" s="4"/>
      <c r="AA166" s="4"/>
      <c r="AB166" s="4"/>
      <c r="AC166" s="4"/>
      <c r="AD166" s="4"/>
      <c r="AE166" s="9"/>
      <c r="AF166" s="4"/>
      <c r="AG166" s="4"/>
      <c r="AH166" s="4"/>
      <c r="AI166" s="4"/>
      <c r="AJ166" s="4"/>
      <c r="AK166" s="4"/>
      <c r="AL166" s="4"/>
      <c r="AM166" s="4"/>
      <c r="AN166" s="4"/>
    </row>
    <row r="167" ht="15.75" customHeight="1">
      <c r="A167" s="6">
        <v>41390.0</v>
      </c>
      <c r="B167" s="7">
        <v>6.0</v>
      </c>
      <c r="C167" s="1" t="s">
        <v>14</v>
      </c>
      <c r="D167" s="1" t="s">
        <v>21</v>
      </c>
      <c r="E167" s="1" t="s">
        <v>17</v>
      </c>
      <c r="F167" s="1" t="s">
        <v>11</v>
      </c>
      <c r="G167" s="4">
        <v>4.0</v>
      </c>
      <c r="H167" s="9">
        <v>200.73</v>
      </c>
      <c r="I167" s="4"/>
      <c r="J167" s="4"/>
      <c r="K167" s="4"/>
      <c r="L167" s="4"/>
      <c r="M167" s="4"/>
      <c r="N167" s="4"/>
      <c r="O167" s="4"/>
      <c r="P167" s="4"/>
      <c r="Q167" s="4"/>
      <c r="R167" s="4"/>
      <c r="S167" s="4"/>
      <c r="T167" s="4"/>
      <c r="U167" s="4"/>
      <c r="V167" s="4"/>
      <c r="W167" s="4"/>
      <c r="X167" s="4"/>
      <c r="Y167" s="4"/>
      <c r="Z167" s="4"/>
      <c r="AA167" s="4"/>
      <c r="AB167" s="4"/>
      <c r="AC167" s="4"/>
      <c r="AD167" s="4"/>
      <c r="AE167" s="9"/>
      <c r="AF167" s="4"/>
      <c r="AG167" s="4"/>
      <c r="AH167" s="4"/>
      <c r="AI167" s="4"/>
      <c r="AJ167" s="4"/>
      <c r="AK167" s="4"/>
      <c r="AL167" s="4"/>
      <c r="AM167" s="4"/>
      <c r="AN167" s="4"/>
    </row>
    <row r="168" ht="15.75" customHeight="1">
      <c r="A168" s="6">
        <v>41391.0</v>
      </c>
      <c r="B168" s="7">
        <v>7.0</v>
      </c>
      <c r="C168" s="1" t="s">
        <v>8</v>
      </c>
      <c r="D168" s="1" t="s">
        <v>21</v>
      </c>
      <c r="E168" s="8" t="s">
        <v>10</v>
      </c>
      <c r="F168" s="1" t="s">
        <v>11</v>
      </c>
      <c r="G168" s="4">
        <v>4.0</v>
      </c>
      <c r="H168" s="9">
        <v>242.06</v>
      </c>
      <c r="I168" s="4"/>
      <c r="J168" s="4"/>
      <c r="K168" s="4"/>
      <c r="L168" s="4"/>
      <c r="M168" s="4"/>
      <c r="N168" s="4"/>
      <c r="O168" s="4"/>
      <c r="P168" s="4"/>
      <c r="Q168" s="4"/>
      <c r="R168" s="4"/>
      <c r="S168" s="4"/>
      <c r="T168" s="4"/>
      <c r="U168" s="4"/>
      <c r="V168" s="4"/>
      <c r="W168" s="4"/>
      <c r="X168" s="4"/>
      <c r="Y168" s="4"/>
      <c r="Z168" s="4"/>
      <c r="AA168" s="4"/>
      <c r="AB168" s="4"/>
      <c r="AC168" s="4"/>
      <c r="AD168" s="4"/>
      <c r="AE168" s="9"/>
      <c r="AF168" s="4"/>
      <c r="AG168" s="4"/>
      <c r="AH168" s="4"/>
      <c r="AI168" s="4"/>
      <c r="AJ168" s="4"/>
      <c r="AK168" s="4"/>
      <c r="AL168" s="4"/>
      <c r="AM168" s="4"/>
      <c r="AN168" s="4"/>
    </row>
    <row r="169" ht="15.75" customHeight="1">
      <c r="A169" s="6">
        <v>41391.0</v>
      </c>
      <c r="B169" s="7">
        <v>7.0</v>
      </c>
      <c r="C169" s="1" t="s">
        <v>15</v>
      </c>
      <c r="D169" s="1" t="s">
        <v>20</v>
      </c>
      <c r="E169" s="8" t="s">
        <v>10</v>
      </c>
      <c r="F169" s="1" t="s">
        <v>19</v>
      </c>
      <c r="G169" s="4">
        <v>4.0</v>
      </c>
      <c r="H169" s="9">
        <v>215.09</v>
      </c>
      <c r="I169" s="4"/>
      <c r="J169" s="4"/>
      <c r="K169" s="4"/>
      <c r="L169" s="4"/>
      <c r="M169" s="4"/>
      <c r="N169" s="4"/>
      <c r="O169" s="4"/>
      <c r="P169" s="4"/>
      <c r="Q169" s="4"/>
      <c r="R169" s="4"/>
      <c r="S169" s="4"/>
      <c r="T169" s="4"/>
      <c r="U169" s="4"/>
      <c r="V169" s="4"/>
      <c r="W169" s="4"/>
      <c r="X169" s="4"/>
      <c r="Y169" s="4"/>
      <c r="Z169" s="4"/>
      <c r="AA169" s="4"/>
      <c r="AB169" s="4"/>
      <c r="AC169" s="4"/>
      <c r="AD169" s="4"/>
      <c r="AE169" s="9"/>
      <c r="AF169" s="4"/>
      <c r="AG169" s="4"/>
      <c r="AH169" s="4"/>
      <c r="AI169" s="4"/>
      <c r="AJ169" s="4"/>
      <c r="AK169" s="4"/>
      <c r="AL169" s="4"/>
      <c r="AM169" s="4"/>
      <c r="AN169" s="4"/>
    </row>
    <row r="170" ht="15.75" customHeight="1">
      <c r="A170" s="6">
        <v>41391.0</v>
      </c>
      <c r="B170" s="7">
        <v>7.0</v>
      </c>
      <c r="C170" s="1" t="s">
        <v>15</v>
      </c>
      <c r="D170" s="1" t="s">
        <v>18</v>
      </c>
      <c r="E170" s="1" t="s">
        <v>12</v>
      </c>
      <c r="F170" s="1" t="s">
        <v>19</v>
      </c>
      <c r="G170" s="4">
        <v>3.0</v>
      </c>
      <c r="H170" s="9">
        <v>162.9</v>
      </c>
      <c r="I170" s="4"/>
      <c r="J170" s="4"/>
      <c r="K170" s="4"/>
      <c r="L170" s="4"/>
      <c r="M170" s="4"/>
      <c r="N170" s="4"/>
      <c r="O170" s="4"/>
      <c r="P170" s="4"/>
      <c r="Q170" s="4"/>
      <c r="R170" s="4"/>
      <c r="S170" s="4"/>
      <c r="T170" s="4"/>
      <c r="U170" s="4"/>
      <c r="V170" s="4"/>
      <c r="W170" s="4"/>
      <c r="X170" s="4"/>
      <c r="Y170" s="4"/>
      <c r="Z170" s="4"/>
      <c r="AA170" s="4"/>
      <c r="AB170" s="4"/>
      <c r="AC170" s="4"/>
      <c r="AD170" s="4"/>
      <c r="AE170" s="9"/>
      <c r="AF170" s="4"/>
      <c r="AG170" s="4"/>
      <c r="AH170" s="4"/>
      <c r="AI170" s="4"/>
      <c r="AJ170" s="4"/>
      <c r="AK170" s="4"/>
      <c r="AL170" s="4"/>
      <c r="AM170" s="4"/>
      <c r="AN170" s="4"/>
    </row>
    <row r="171" ht="15.75" customHeight="1">
      <c r="A171" s="6">
        <v>41392.0</v>
      </c>
      <c r="B171" s="7">
        <v>1.0</v>
      </c>
      <c r="C171" s="1" t="s">
        <v>14</v>
      </c>
      <c r="D171" s="1" t="s">
        <v>9</v>
      </c>
      <c r="E171" s="1" t="s">
        <v>12</v>
      </c>
      <c r="F171" s="1" t="s">
        <v>11</v>
      </c>
      <c r="G171" s="4">
        <v>5.0</v>
      </c>
      <c r="H171" s="9">
        <v>214.31</v>
      </c>
      <c r="I171" s="4"/>
      <c r="J171" s="4"/>
      <c r="K171" s="4"/>
      <c r="L171" s="4"/>
      <c r="M171" s="4"/>
      <c r="N171" s="4"/>
      <c r="O171" s="4"/>
      <c r="P171" s="4"/>
      <c r="Q171" s="4"/>
      <c r="R171" s="4"/>
      <c r="S171" s="4"/>
      <c r="T171" s="4"/>
      <c r="U171" s="4"/>
      <c r="V171" s="4"/>
      <c r="W171" s="4"/>
      <c r="X171" s="4"/>
      <c r="Y171" s="4"/>
      <c r="Z171" s="4"/>
      <c r="AA171" s="4"/>
      <c r="AB171" s="4"/>
      <c r="AC171" s="4"/>
      <c r="AD171" s="4"/>
      <c r="AE171" s="9"/>
      <c r="AF171" s="4"/>
      <c r="AG171" s="4"/>
      <c r="AH171" s="4"/>
      <c r="AI171" s="4"/>
      <c r="AJ171" s="4"/>
      <c r="AK171" s="4"/>
      <c r="AL171" s="4"/>
      <c r="AM171" s="4"/>
      <c r="AN171" s="4"/>
    </row>
    <row r="172" ht="15.75" customHeight="1">
      <c r="A172" s="6">
        <v>41392.0</v>
      </c>
      <c r="B172" s="7">
        <v>1.0</v>
      </c>
      <c r="C172" s="1" t="s">
        <v>14</v>
      </c>
      <c r="D172" s="1" t="s">
        <v>20</v>
      </c>
      <c r="E172" s="1" t="s">
        <v>12</v>
      </c>
      <c r="F172" s="1" t="s">
        <v>11</v>
      </c>
      <c r="G172" s="4">
        <v>1.0</v>
      </c>
      <c r="H172" s="9">
        <v>42.07</v>
      </c>
      <c r="I172" s="4"/>
      <c r="J172" s="4"/>
      <c r="K172" s="4"/>
      <c r="L172" s="4"/>
      <c r="M172" s="4"/>
      <c r="N172" s="4"/>
      <c r="O172" s="4"/>
      <c r="P172" s="4"/>
      <c r="Q172" s="4"/>
      <c r="R172" s="4"/>
      <c r="S172" s="4"/>
      <c r="T172" s="4"/>
      <c r="U172" s="4"/>
      <c r="V172" s="4"/>
      <c r="W172" s="4"/>
      <c r="X172" s="4"/>
      <c r="Y172" s="4"/>
      <c r="Z172" s="4"/>
      <c r="AA172" s="4"/>
      <c r="AB172" s="4"/>
      <c r="AC172" s="4"/>
      <c r="AD172" s="4"/>
      <c r="AE172" s="9"/>
      <c r="AF172" s="4"/>
      <c r="AG172" s="4"/>
      <c r="AH172" s="4"/>
      <c r="AI172" s="4"/>
      <c r="AJ172" s="4"/>
      <c r="AK172" s="4"/>
      <c r="AL172" s="4"/>
      <c r="AM172" s="4"/>
      <c r="AN172" s="4"/>
    </row>
    <row r="173" ht="15.75" customHeight="1">
      <c r="A173" s="6">
        <v>41392.0</v>
      </c>
      <c r="B173" s="7">
        <v>1.0</v>
      </c>
      <c r="C173" s="1" t="s">
        <v>15</v>
      </c>
      <c r="D173" s="1" t="s">
        <v>18</v>
      </c>
      <c r="E173" s="8" t="s">
        <v>10</v>
      </c>
      <c r="F173" s="1" t="s">
        <v>19</v>
      </c>
      <c r="G173" s="4">
        <v>2.0</v>
      </c>
      <c r="H173" s="9">
        <v>69.05</v>
      </c>
      <c r="I173" s="4"/>
      <c r="J173" s="4"/>
      <c r="K173" s="4"/>
      <c r="L173" s="4"/>
      <c r="M173" s="4"/>
      <c r="N173" s="4"/>
      <c r="O173" s="4"/>
      <c r="P173" s="4"/>
      <c r="Q173" s="4"/>
      <c r="R173" s="4"/>
      <c r="S173" s="4"/>
      <c r="T173" s="4"/>
      <c r="U173" s="4"/>
      <c r="V173" s="4"/>
      <c r="W173" s="4"/>
      <c r="X173" s="4"/>
      <c r="Y173" s="4"/>
      <c r="Z173" s="4"/>
      <c r="AA173" s="4"/>
      <c r="AB173" s="4"/>
      <c r="AC173" s="4"/>
      <c r="AD173" s="4"/>
      <c r="AE173" s="9"/>
      <c r="AF173" s="4"/>
      <c r="AG173" s="4"/>
      <c r="AH173" s="4"/>
      <c r="AI173" s="4"/>
      <c r="AJ173" s="4"/>
      <c r="AK173" s="4"/>
      <c r="AL173" s="4"/>
      <c r="AM173" s="4"/>
      <c r="AN173" s="4"/>
    </row>
    <row r="174" ht="15.75" customHeight="1">
      <c r="A174" s="6">
        <v>41392.0</v>
      </c>
      <c r="B174" s="7">
        <v>1.0</v>
      </c>
      <c r="C174" s="1" t="s">
        <v>15</v>
      </c>
      <c r="D174" s="1" t="s">
        <v>18</v>
      </c>
      <c r="E174" s="1" t="s">
        <v>10</v>
      </c>
      <c r="F174" s="1" t="s">
        <v>11</v>
      </c>
      <c r="G174" s="4">
        <v>4.0</v>
      </c>
      <c r="H174" s="9">
        <v>148.9</v>
      </c>
      <c r="I174" s="4"/>
      <c r="J174" s="4"/>
      <c r="K174" s="4"/>
      <c r="L174" s="4"/>
      <c r="M174" s="4"/>
      <c r="N174" s="4"/>
      <c r="O174" s="4"/>
      <c r="P174" s="4"/>
      <c r="Q174" s="4"/>
      <c r="R174" s="4"/>
      <c r="S174" s="4"/>
      <c r="T174" s="4"/>
      <c r="U174" s="4"/>
      <c r="V174" s="4"/>
      <c r="W174" s="4"/>
      <c r="X174" s="4"/>
      <c r="Y174" s="4"/>
      <c r="Z174" s="4"/>
      <c r="AA174" s="4"/>
      <c r="AB174" s="4"/>
      <c r="AC174" s="4"/>
      <c r="AD174" s="4"/>
      <c r="AE174" s="9"/>
      <c r="AF174" s="4"/>
      <c r="AG174" s="4"/>
      <c r="AH174" s="4"/>
      <c r="AI174" s="4"/>
      <c r="AJ174" s="4"/>
      <c r="AK174" s="4"/>
      <c r="AL174" s="4"/>
      <c r="AM174" s="4"/>
      <c r="AN174" s="4"/>
    </row>
    <row r="175" ht="15.75" customHeight="1">
      <c r="A175" s="6">
        <v>41393.0</v>
      </c>
      <c r="B175" s="7">
        <v>2.0</v>
      </c>
      <c r="C175" s="1" t="s">
        <v>8</v>
      </c>
      <c r="D175" s="1" t="s">
        <v>18</v>
      </c>
      <c r="E175" s="1" t="s">
        <v>10</v>
      </c>
      <c r="F175" s="1" t="s">
        <v>19</v>
      </c>
      <c r="G175" s="4">
        <v>4.0</v>
      </c>
      <c r="H175" s="9">
        <v>105.74</v>
      </c>
      <c r="I175" s="4"/>
      <c r="J175" s="4"/>
      <c r="K175" s="4"/>
      <c r="L175" s="4"/>
      <c r="M175" s="4"/>
      <c r="N175" s="4"/>
      <c r="O175" s="4"/>
      <c r="P175" s="4"/>
      <c r="Q175" s="4"/>
      <c r="R175" s="4"/>
      <c r="S175" s="4"/>
      <c r="T175" s="4"/>
      <c r="U175" s="4"/>
      <c r="V175" s="4"/>
      <c r="W175" s="4"/>
      <c r="X175" s="4"/>
      <c r="Y175" s="4"/>
      <c r="Z175" s="4"/>
      <c r="AA175" s="4"/>
      <c r="AB175" s="4"/>
      <c r="AC175" s="4"/>
      <c r="AD175" s="4"/>
      <c r="AE175" s="9"/>
      <c r="AF175" s="4"/>
      <c r="AG175" s="4"/>
      <c r="AH175" s="4"/>
      <c r="AI175" s="4"/>
      <c r="AJ175" s="4"/>
      <c r="AK175" s="4"/>
      <c r="AL175" s="4"/>
      <c r="AM175" s="4"/>
      <c r="AN175" s="4"/>
    </row>
    <row r="176" ht="15.75" customHeight="1">
      <c r="A176" s="6">
        <v>41393.0</v>
      </c>
      <c r="B176" s="7">
        <v>2.0</v>
      </c>
      <c r="C176" s="1" t="s">
        <v>8</v>
      </c>
      <c r="D176" s="1" t="s">
        <v>21</v>
      </c>
      <c r="E176" s="8" t="s">
        <v>12</v>
      </c>
      <c r="F176" s="1" t="s">
        <v>19</v>
      </c>
      <c r="G176" s="4">
        <v>3.0</v>
      </c>
      <c r="H176" s="9">
        <v>138.32</v>
      </c>
      <c r="I176" s="4"/>
      <c r="J176" s="4"/>
      <c r="K176" s="4"/>
      <c r="L176" s="4"/>
      <c r="M176" s="4"/>
      <c r="N176" s="4"/>
      <c r="O176" s="4"/>
      <c r="P176" s="4"/>
      <c r="Q176" s="4"/>
      <c r="R176" s="4"/>
      <c r="S176" s="4"/>
      <c r="T176" s="4"/>
      <c r="U176" s="4"/>
      <c r="V176" s="4"/>
      <c r="W176" s="4"/>
      <c r="X176" s="4"/>
      <c r="Y176" s="4"/>
      <c r="Z176" s="4"/>
      <c r="AA176" s="4"/>
      <c r="AB176" s="4"/>
      <c r="AC176" s="4"/>
      <c r="AD176" s="4"/>
      <c r="AE176" s="9"/>
      <c r="AF176" s="4"/>
      <c r="AG176" s="4"/>
      <c r="AH176" s="4"/>
      <c r="AI176" s="4"/>
      <c r="AJ176" s="4"/>
      <c r="AK176" s="4"/>
      <c r="AL176" s="4"/>
      <c r="AM176" s="4"/>
      <c r="AN176" s="4"/>
    </row>
    <row r="177" ht="15.75" customHeight="1">
      <c r="A177" s="6">
        <v>41393.0</v>
      </c>
      <c r="B177" s="7">
        <v>2.0</v>
      </c>
      <c r="C177" s="1" t="s">
        <v>14</v>
      </c>
      <c r="D177" s="1" t="s">
        <v>9</v>
      </c>
      <c r="E177" s="1" t="s">
        <v>12</v>
      </c>
      <c r="F177" s="1" t="s">
        <v>19</v>
      </c>
      <c r="G177" s="4">
        <v>2.0</v>
      </c>
      <c r="H177" s="9">
        <v>61.71</v>
      </c>
      <c r="I177" s="4"/>
      <c r="J177" s="4"/>
      <c r="K177" s="4"/>
      <c r="L177" s="4"/>
      <c r="M177" s="4"/>
      <c r="N177" s="4"/>
      <c r="O177" s="4"/>
      <c r="P177" s="4"/>
      <c r="Q177" s="4"/>
      <c r="R177" s="4"/>
      <c r="S177" s="4"/>
      <c r="T177" s="4"/>
      <c r="U177" s="4"/>
      <c r="V177" s="4"/>
      <c r="W177" s="4"/>
      <c r="X177" s="4"/>
      <c r="Y177" s="4"/>
      <c r="Z177" s="4"/>
      <c r="AA177" s="4"/>
      <c r="AB177" s="4"/>
      <c r="AC177" s="4"/>
      <c r="AD177" s="4"/>
      <c r="AE177" s="9"/>
      <c r="AF177" s="4"/>
      <c r="AG177" s="4"/>
      <c r="AH177" s="4"/>
      <c r="AI177" s="4"/>
      <c r="AJ177" s="4"/>
      <c r="AK177" s="4"/>
      <c r="AL177" s="4"/>
      <c r="AM177" s="4"/>
      <c r="AN177" s="4"/>
    </row>
    <row r="178" ht="15.75" customHeight="1">
      <c r="A178" s="6">
        <v>41393.0</v>
      </c>
      <c r="B178" s="7">
        <v>2.0</v>
      </c>
      <c r="C178" s="1" t="s">
        <v>15</v>
      </c>
      <c r="D178" s="1" t="s">
        <v>20</v>
      </c>
      <c r="E178" s="8" t="s">
        <v>10</v>
      </c>
      <c r="F178" s="1" t="s">
        <v>19</v>
      </c>
      <c r="G178" s="4">
        <v>3.0</v>
      </c>
      <c r="H178" s="9">
        <v>120.11</v>
      </c>
      <c r="I178" s="4"/>
      <c r="J178" s="4"/>
      <c r="K178" s="4"/>
      <c r="L178" s="4"/>
      <c r="M178" s="4"/>
      <c r="N178" s="4"/>
      <c r="O178" s="4"/>
      <c r="P178" s="4"/>
      <c r="Q178" s="4"/>
      <c r="R178" s="4"/>
      <c r="S178" s="4"/>
      <c r="T178" s="4"/>
      <c r="U178" s="4"/>
      <c r="V178" s="4"/>
      <c r="W178" s="4"/>
      <c r="X178" s="4"/>
      <c r="Y178" s="4"/>
      <c r="Z178" s="4"/>
      <c r="AA178" s="4"/>
      <c r="AB178" s="4"/>
      <c r="AC178" s="4"/>
      <c r="AD178" s="4"/>
      <c r="AE178" s="9"/>
      <c r="AF178" s="4"/>
      <c r="AG178" s="4"/>
      <c r="AH178" s="4"/>
      <c r="AI178" s="4"/>
      <c r="AJ178" s="4"/>
      <c r="AK178" s="4"/>
      <c r="AL178" s="4"/>
      <c r="AM178" s="4"/>
      <c r="AN178" s="4"/>
    </row>
    <row r="179" ht="15.75" customHeight="1">
      <c r="A179" s="6">
        <v>41393.0</v>
      </c>
      <c r="B179" s="7">
        <v>2.0</v>
      </c>
      <c r="C179" s="1" t="s">
        <v>15</v>
      </c>
      <c r="D179" s="1" t="s">
        <v>21</v>
      </c>
      <c r="E179" s="1" t="s">
        <v>12</v>
      </c>
      <c r="F179" s="1" t="s">
        <v>19</v>
      </c>
      <c r="G179" s="4">
        <v>1.0</v>
      </c>
      <c r="H179" s="9">
        <v>72.8</v>
      </c>
      <c r="I179" s="4"/>
      <c r="J179" s="4"/>
      <c r="K179" s="4"/>
      <c r="L179" s="4"/>
      <c r="M179" s="4"/>
      <c r="N179" s="4"/>
      <c r="O179" s="4"/>
      <c r="P179" s="4"/>
      <c r="Q179" s="4"/>
      <c r="R179" s="4"/>
      <c r="S179" s="4"/>
      <c r="T179" s="4"/>
      <c r="U179" s="4"/>
      <c r="V179" s="4"/>
      <c r="W179" s="4"/>
      <c r="X179" s="4"/>
      <c r="Y179" s="4"/>
      <c r="Z179" s="4"/>
      <c r="AA179" s="4"/>
      <c r="AB179" s="4"/>
      <c r="AC179" s="4"/>
      <c r="AD179" s="4"/>
      <c r="AE179" s="9"/>
      <c r="AF179" s="4"/>
      <c r="AG179" s="4"/>
      <c r="AH179" s="4"/>
      <c r="AI179" s="4"/>
      <c r="AJ179" s="4"/>
      <c r="AK179" s="4"/>
      <c r="AL179" s="4"/>
      <c r="AM179" s="4"/>
      <c r="AN179" s="4"/>
    </row>
    <row r="180" ht="15.75" customHeight="1">
      <c r="A180" s="6">
        <v>41393.0</v>
      </c>
      <c r="B180" s="7">
        <v>2.0</v>
      </c>
      <c r="C180" s="1" t="s">
        <v>15</v>
      </c>
      <c r="D180" s="1" t="s">
        <v>21</v>
      </c>
      <c r="E180" s="8" t="s">
        <v>12</v>
      </c>
      <c r="F180" s="1" t="s">
        <v>11</v>
      </c>
      <c r="G180" s="4">
        <v>2.0</v>
      </c>
      <c r="H180" s="9">
        <v>134.86</v>
      </c>
      <c r="I180" s="4"/>
      <c r="J180" s="4"/>
      <c r="K180" s="4"/>
      <c r="L180" s="4"/>
      <c r="M180" s="4"/>
      <c r="N180" s="4"/>
      <c r="O180" s="4"/>
      <c r="P180" s="4"/>
      <c r="Q180" s="4"/>
      <c r="R180" s="4"/>
      <c r="S180" s="4"/>
      <c r="T180" s="4"/>
      <c r="U180" s="4"/>
      <c r="V180" s="4"/>
      <c r="W180" s="4"/>
      <c r="X180" s="4"/>
      <c r="Y180" s="4"/>
      <c r="Z180" s="4"/>
      <c r="AA180" s="4"/>
      <c r="AB180" s="4"/>
      <c r="AC180" s="4"/>
      <c r="AD180" s="4"/>
      <c r="AE180" s="9"/>
      <c r="AF180" s="4"/>
      <c r="AG180" s="4"/>
      <c r="AH180" s="4"/>
      <c r="AI180" s="4"/>
      <c r="AJ180" s="4"/>
      <c r="AK180" s="4"/>
      <c r="AL180" s="4"/>
      <c r="AM180" s="4"/>
      <c r="AN180" s="4"/>
    </row>
    <row r="181" ht="15.75" customHeight="1">
      <c r="A181" s="6">
        <v>41393.0</v>
      </c>
      <c r="B181" s="7">
        <v>2.0</v>
      </c>
      <c r="C181" s="1" t="s">
        <v>15</v>
      </c>
      <c r="D181" s="1" t="s">
        <v>9</v>
      </c>
      <c r="E181" s="1" t="s">
        <v>10</v>
      </c>
      <c r="F181" s="1" t="s">
        <v>19</v>
      </c>
      <c r="G181" s="4">
        <v>4.0</v>
      </c>
      <c r="H181" s="9">
        <v>89.75</v>
      </c>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row>
    <row r="182" ht="15.75" customHeight="1">
      <c r="A182" s="6">
        <v>41394.0</v>
      </c>
      <c r="B182" s="7">
        <v>3.0</v>
      </c>
      <c r="C182" s="1" t="s">
        <v>8</v>
      </c>
      <c r="D182" s="1" t="s">
        <v>9</v>
      </c>
      <c r="E182" s="1" t="s">
        <v>12</v>
      </c>
      <c r="F182" s="1" t="s">
        <v>11</v>
      </c>
      <c r="G182" s="4">
        <v>4.0</v>
      </c>
      <c r="H182" s="9">
        <v>220.04</v>
      </c>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row>
    <row r="183" ht="15.75" customHeight="1">
      <c r="A183" s="6">
        <v>41394.0</v>
      </c>
      <c r="B183" s="7">
        <v>3.0</v>
      </c>
      <c r="C183" s="1" t="s">
        <v>14</v>
      </c>
      <c r="D183" s="1" t="s">
        <v>20</v>
      </c>
      <c r="E183" s="8" t="s">
        <v>12</v>
      </c>
      <c r="F183" s="1" t="s">
        <v>11</v>
      </c>
      <c r="G183" s="4">
        <v>3.0</v>
      </c>
      <c r="H183" s="9">
        <v>168.39</v>
      </c>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row>
    <row r="184" ht="15.75" customHeight="1">
      <c r="A184" s="6">
        <v>41394.0</v>
      </c>
      <c r="B184" s="7">
        <v>3.0</v>
      </c>
      <c r="C184" s="1" t="s">
        <v>15</v>
      </c>
      <c r="D184" s="1" t="s">
        <v>18</v>
      </c>
      <c r="E184" s="1" t="s">
        <v>12</v>
      </c>
      <c r="F184" s="1" t="s">
        <v>19</v>
      </c>
      <c r="G184" s="4">
        <v>6.0</v>
      </c>
      <c r="H184" s="9">
        <v>277.8</v>
      </c>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row>
    <row r="185" ht="15.75" customHeight="1">
      <c r="A185" s="6">
        <v>41395.0</v>
      </c>
      <c r="B185" s="7">
        <v>4.0</v>
      </c>
      <c r="C185" s="1" t="s">
        <v>14</v>
      </c>
      <c r="D185" s="1" t="s">
        <v>18</v>
      </c>
      <c r="E185" s="1" t="s">
        <v>10</v>
      </c>
      <c r="F185" s="1" t="s">
        <v>11</v>
      </c>
      <c r="G185" s="4">
        <v>3.0</v>
      </c>
      <c r="H185" s="9">
        <v>130.49</v>
      </c>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row>
    <row r="186" ht="15.75" customHeight="1">
      <c r="A186" s="6">
        <v>41396.0</v>
      </c>
      <c r="B186" s="7">
        <v>5.0</v>
      </c>
      <c r="C186" s="1" t="s">
        <v>15</v>
      </c>
      <c r="D186" s="1" t="s">
        <v>18</v>
      </c>
      <c r="E186" s="1" t="s">
        <v>17</v>
      </c>
      <c r="F186" s="1" t="s">
        <v>19</v>
      </c>
      <c r="G186" s="4">
        <v>2.0</v>
      </c>
      <c r="H186" s="9">
        <v>94.39</v>
      </c>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row>
    <row r="187" ht="15.75" customHeight="1">
      <c r="A187" s="6">
        <v>41397.0</v>
      </c>
      <c r="B187" s="7">
        <v>6.0</v>
      </c>
      <c r="C187" s="1" t="s">
        <v>14</v>
      </c>
      <c r="D187" s="1" t="s">
        <v>9</v>
      </c>
      <c r="E187" s="1" t="s">
        <v>12</v>
      </c>
      <c r="F187" s="1" t="s">
        <v>11</v>
      </c>
      <c r="G187" s="4">
        <v>4.0</v>
      </c>
      <c r="H187" s="9">
        <v>120.48</v>
      </c>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row>
    <row r="188" ht="15.75" customHeight="1">
      <c r="A188" s="6">
        <v>41397.0</v>
      </c>
      <c r="B188" s="7">
        <v>6.0</v>
      </c>
      <c r="C188" s="1" t="s">
        <v>14</v>
      </c>
      <c r="D188" s="1" t="s">
        <v>20</v>
      </c>
      <c r="E188" s="1" t="s">
        <v>10</v>
      </c>
      <c r="F188" s="1" t="s">
        <v>11</v>
      </c>
      <c r="G188" s="4">
        <v>6.0</v>
      </c>
      <c r="H188" s="9">
        <v>304.95</v>
      </c>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row>
    <row r="189" ht="15.75" customHeight="1">
      <c r="A189" s="6">
        <v>41398.0</v>
      </c>
      <c r="B189" s="7">
        <v>7.0</v>
      </c>
      <c r="C189" s="1" t="s">
        <v>15</v>
      </c>
      <c r="D189" s="1" t="s">
        <v>9</v>
      </c>
      <c r="E189" s="8" t="s">
        <v>10</v>
      </c>
      <c r="F189" s="1" t="s">
        <v>11</v>
      </c>
      <c r="G189" s="4">
        <v>9.0</v>
      </c>
      <c r="H189" s="9">
        <v>389.79</v>
      </c>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row>
    <row r="190" ht="15.75" customHeight="1">
      <c r="A190" s="6">
        <v>41399.0</v>
      </c>
      <c r="B190" s="7">
        <v>1.0</v>
      </c>
      <c r="C190" s="1" t="s">
        <v>8</v>
      </c>
      <c r="D190" s="1" t="s">
        <v>18</v>
      </c>
      <c r="E190" s="1" t="s">
        <v>10</v>
      </c>
      <c r="F190" s="1" t="s">
        <v>11</v>
      </c>
      <c r="G190" s="4">
        <v>4.0</v>
      </c>
      <c r="H190" s="9">
        <v>161.08</v>
      </c>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row>
    <row r="191" ht="15.75" customHeight="1">
      <c r="A191" s="6">
        <v>41399.0</v>
      </c>
      <c r="B191" s="7">
        <v>1.0</v>
      </c>
      <c r="C191" s="1" t="s">
        <v>14</v>
      </c>
      <c r="D191" s="1" t="s">
        <v>18</v>
      </c>
      <c r="E191" s="1" t="s">
        <v>10</v>
      </c>
      <c r="F191" s="1" t="s">
        <v>11</v>
      </c>
      <c r="G191" s="4">
        <v>2.0</v>
      </c>
      <c r="H191" s="9">
        <v>69.61</v>
      </c>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row>
    <row r="192" ht="15.75" customHeight="1">
      <c r="A192" s="6">
        <v>41400.0</v>
      </c>
      <c r="B192" s="7">
        <v>2.0</v>
      </c>
      <c r="C192" s="1" t="s">
        <v>8</v>
      </c>
      <c r="D192" s="1" t="s">
        <v>9</v>
      </c>
      <c r="E192" s="1" t="s">
        <v>10</v>
      </c>
      <c r="F192" s="1" t="s">
        <v>11</v>
      </c>
      <c r="G192" s="4">
        <v>3.0</v>
      </c>
      <c r="H192" s="9">
        <v>59.99</v>
      </c>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row>
    <row r="193" ht="15.75" customHeight="1">
      <c r="A193" s="6">
        <v>41400.0</v>
      </c>
      <c r="B193" s="7">
        <v>2.0</v>
      </c>
      <c r="C193" s="1" t="s">
        <v>8</v>
      </c>
      <c r="D193" s="1" t="s">
        <v>21</v>
      </c>
      <c r="E193" s="1" t="s">
        <v>12</v>
      </c>
      <c r="F193" s="1" t="s">
        <v>19</v>
      </c>
      <c r="G193" s="4">
        <v>2.0</v>
      </c>
      <c r="H193" s="9">
        <v>120.78</v>
      </c>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row>
    <row r="194" ht="15.75" customHeight="1">
      <c r="A194" s="6">
        <v>41400.0</v>
      </c>
      <c r="B194" s="7">
        <v>2.0</v>
      </c>
      <c r="C194" s="1" t="s">
        <v>8</v>
      </c>
      <c r="D194" s="1" t="s">
        <v>9</v>
      </c>
      <c r="E194" s="1" t="s">
        <v>17</v>
      </c>
      <c r="F194" s="1" t="s">
        <v>11</v>
      </c>
      <c r="G194" s="4">
        <v>3.0</v>
      </c>
      <c r="H194" s="9">
        <v>82.3</v>
      </c>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row>
    <row r="195" ht="15.75" customHeight="1">
      <c r="A195" s="6">
        <v>41400.0</v>
      </c>
      <c r="B195" s="7">
        <v>2.0</v>
      </c>
      <c r="C195" s="1" t="s">
        <v>8</v>
      </c>
      <c r="D195" s="1" t="s">
        <v>20</v>
      </c>
      <c r="E195" s="1" t="s">
        <v>10</v>
      </c>
      <c r="F195" s="1" t="s">
        <v>11</v>
      </c>
      <c r="G195" s="4">
        <v>2.0</v>
      </c>
      <c r="H195" s="9">
        <v>91.88</v>
      </c>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row>
    <row r="196" ht="15.75" customHeight="1">
      <c r="A196" s="6">
        <v>41400.0</v>
      </c>
      <c r="B196" s="7">
        <v>2.0</v>
      </c>
      <c r="C196" s="1" t="s">
        <v>8</v>
      </c>
      <c r="D196" s="1" t="s">
        <v>9</v>
      </c>
      <c r="E196" s="1" t="s">
        <v>12</v>
      </c>
      <c r="F196" s="1" t="s">
        <v>19</v>
      </c>
      <c r="G196" s="4">
        <v>1.0</v>
      </c>
      <c r="H196" s="9">
        <v>87.1</v>
      </c>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row>
    <row r="197" ht="15.75" customHeight="1">
      <c r="A197" s="6">
        <v>41400.0</v>
      </c>
      <c r="B197" s="7">
        <v>2.0</v>
      </c>
      <c r="C197" s="1" t="s">
        <v>14</v>
      </c>
      <c r="D197" s="1" t="s">
        <v>21</v>
      </c>
      <c r="E197" s="1" t="s">
        <v>12</v>
      </c>
      <c r="F197" s="1" t="s">
        <v>11</v>
      </c>
      <c r="G197" s="4">
        <v>2.0</v>
      </c>
      <c r="H197" s="9">
        <v>70.1</v>
      </c>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row>
    <row r="198" ht="15.75" customHeight="1">
      <c r="A198" s="6">
        <v>41400.0</v>
      </c>
      <c r="B198" s="7">
        <v>2.0</v>
      </c>
      <c r="C198" s="1" t="s">
        <v>14</v>
      </c>
      <c r="D198" s="1" t="s">
        <v>18</v>
      </c>
      <c r="E198" s="1" t="s">
        <v>17</v>
      </c>
      <c r="F198" s="1" t="s">
        <v>11</v>
      </c>
      <c r="G198" s="4">
        <v>2.0</v>
      </c>
      <c r="H198" s="9">
        <v>106.67</v>
      </c>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row>
    <row r="199" ht="15.75" customHeight="1">
      <c r="A199" s="6">
        <v>41400.0</v>
      </c>
      <c r="B199" s="7">
        <v>2.0</v>
      </c>
      <c r="C199" s="1" t="s">
        <v>15</v>
      </c>
      <c r="D199" s="1" t="s">
        <v>18</v>
      </c>
      <c r="E199" s="8" t="s">
        <v>12</v>
      </c>
      <c r="F199" s="1" t="s">
        <v>19</v>
      </c>
      <c r="G199" s="4">
        <v>1.0</v>
      </c>
      <c r="H199" s="9">
        <v>34.31</v>
      </c>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row>
    <row r="200" ht="15.75" customHeight="1">
      <c r="A200" s="6">
        <v>41400.0</v>
      </c>
      <c r="B200" s="7">
        <v>2.0</v>
      </c>
      <c r="C200" s="1" t="s">
        <v>15</v>
      </c>
      <c r="D200" s="1" t="s">
        <v>9</v>
      </c>
      <c r="E200" s="1" t="s">
        <v>10</v>
      </c>
      <c r="F200" s="1" t="s">
        <v>19</v>
      </c>
      <c r="G200" s="4">
        <v>3.0</v>
      </c>
      <c r="H200" s="9">
        <v>77.69</v>
      </c>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row>
    <row r="201" ht="15.75" customHeight="1">
      <c r="A201" s="6">
        <v>41400.0</v>
      </c>
      <c r="B201" s="7">
        <v>2.0</v>
      </c>
      <c r="C201" s="1" t="s">
        <v>15</v>
      </c>
      <c r="D201" s="1" t="s">
        <v>9</v>
      </c>
      <c r="E201" s="1" t="s">
        <v>12</v>
      </c>
      <c r="F201" s="1" t="s">
        <v>11</v>
      </c>
      <c r="G201" s="4">
        <v>2.0</v>
      </c>
      <c r="H201" s="9">
        <v>85.31</v>
      </c>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row>
    <row r="202" ht="15.75" customHeight="1">
      <c r="A202" s="6">
        <v>41401.0</v>
      </c>
      <c r="B202" s="7">
        <v>3.0</v>
      </c>
      <c r="C202" s="1" t="s">
        <v>15</v>
      </c>
      <c r="D202" s="1" t="s">
        <v>18</v>
      </c>
      <c r="E202" s="8" t="s">
        <v>12</v>
      </c>
      <c r="F202" s="1" t="s">
        <v>11</v>
      </c>
      <c r="G202" s="4">
        <v>1.0</v>
      </c>
      <c r="H202" s="9">
        <v>65.92</v>
      </c>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row>
    <row r="203" ht="15.75" customHeight="1">
      <c r="A203" s="6">
        <v>41401.0</v>
      </c>
      <c r="B203" s="7">
        <v>3.0</v>
      </c>
      <c r="C203" s="1" t="s">
        <v>15</v>
      </c>
      <c r="D203" s="1" t="s">
        <v>21</v>
      </c>
      <c r="E203" s="1" t="s">
        <v>17</v>
      </c>
      <c r="F203" s="1" t="s">
        <v>11</v>
      </c>
      <c r="G203" s="4">
        <v>1.0</v>
      </c>
      <c r="H203" s="9">
        <v>89.98</v>
      </c>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row>
    <row r="204" ht="15.75" customHeight="1">
      <c r="A204" s="6">
        <v>41402.0</v>
      </c>
      <c r="B204" s="7">
        <v>4.0</v>
      </c>
      <c r="C204" s="1" t="s">
        <v>8</v>
      </c>
      <c r="D204" s="1" t="s">
        <v>9</v>
      </c>
      <c r="E204" s="1" t="s">
        <v>10</v>
      </c>
      <c r="F204" s="1" t="s">
        <v>11</v>
      </c>
      <c r="G204" s="4">
        <v>3.0</v>
      </c>
      <c r="H204" s="9">
        <v>102.07</v>
      </c>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row>
    <row r="205" ht="15.75" customHeight="1">
      <c r="A205" s="6">
        <v>41402.0</v>
      </c>
      <c r="B205" s="7">
        <v>4.0</v>
      </c>
      <c r="C205" s="1" t="s">
        <v>14</v>
      </c>
      <c r="D205" s="1" t="s">
        <v>20</v>
      </c>
      <c r="E205" s="1" t="s">
        <v>10</v>
      </c>
      <c r="F205" s="1" t="s">
        <v>11</v>
      </c>
      <c r="G205" s="4">
        <v>4.0</v>
      </c>
      <c r="H205" s="9">
        <v>199.83</v>
      </c>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row>
    <row r="206" ht="15.75" customHeight="1">
      <c r="A206" s="6">
        <v>41402.0</v>
      </c>
      <c r="B206" s="7">
        <v>4.0</v>
      </c>
      <c r="C206" s="1" t="s">
        <v>15</v>
      </c>
      <c r="D206" s="1" t="s">
        <v>20</v>
      </c>
      <c r="E206" s="1" t="s">
        <v>17</v>
      </c>
      <c r="F206" s="1" t="s">
        <v>19</v>
      </c>
      <c r="G206" s="4">
        <v>3.0</v>
      </c>
      <c r="H206" s="9">
        <v>134.21</v>
      </c>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row>
    <row r="207" ht="15.75" customHeight="1">
      <c r="A207" s="6">
        <v>41402.0</v>
      </c>
      <c r="B207" s="7">
        <v>4.0</v>
      </c>
      <c r="C207" s="1" t="s">
        <v>15</v>
      </c>
      <c r="D207" s="1" t="s">
        <v>20</v>
      </c>
      <c r="E207" s="1" t="s">
        <v>12</v>
      </c>
      <c r="F207" s="1" t="s">
        <v>19</v>
      </c>
      <c r="G207" s="4">
        <v>4.0</v>
      </c>
      <c r="H207" s="9">
        <v>188.41</v>
      </c>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row>
    <row r="208" ht="15.75" customHeight="1">
      <c r="A208" s="6">
        <v>41402.0</v>
      </c>
      <c r="B208" s="7">
        <v>4.0</v>
      </c>
      <c r="C208" s="1" t="s">
        <v>15</v>
      </c>
      <c r="D208" s="1" t="s">
        <v>9</v>
      </c>
      <c r="E208" s="1" t="s">
        <v>10</v>
      </c>
      <c r="F208" s="1" t="s">
        <v>19</v>
      </c>
      <c r="G208" s="4">
        <v>4.0</v>
      </c>
      <c r="H208" s="9">
        <v>102.72</v>
      </c>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row>
    <row r="209" ht="15.75" customHeight="1">
      <c r="A209" s="6">
        <v>41402.0</v>
      </c>
      <c r="B209" s="7">
        <v>4.0</v>
      </c>
      <c r="C209" s="1" t="s">
        <v>15</v>
      </c>
      <c r="D209" s="1" t="s">
        <v>9</v>
      </c>
      <c r="E209" s="1" t="s">
        <v>12</v>
      </c>
      <c r="F209" s="1" t="s">
        <v>19</v>
      </c>
      <c r="G209" s="4">
        <v>2.0</v>
      </c>
      <c r="H209" s="9">
        <v>85.63</v>
      </c>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row>
    <row r="210" ht="15.75" customHeight="1">
      <c r="A210" s="6">
        <v>41403.0</v>
      </c>
      <c r="B210" s="7">
        <v>5.0</v>
      </c>
      <c r="C210" s="1" t="s">
        <v>8</v>
      </c>
      <c r="D210" s="1" t="s">
        <v>9</v>
      </c>
      <c r="E210" s="1" t="s">
        <v>17</v>
      </c>
      <c r="F210" s="1" t="s">
        <v>19</v>
      </c>
      <c r="G210" s="4">
        <v>4.0</v>
      </c>
      <c r="H210" s="9">
        <v>206.87</v>
      </c>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row>
    <row r="211" ht="15.75" customHeight="1">
      <c r="A211" s="6">
        <v>41403.0</v>
      </c>
      <c r="B211" s="7">
        <v>5.0</v>
      </c>
      <c r="C211" s="1" t="s">
        <v>14</v>
      </c>
      <c r="D211" s="1" t="s">
        <v>20</v>
      </c>
      <c r="E211" s="1" t="s">
        <v>12</v>
      </c>
      <c r="F211" s="1" t="s">
        <v>11</v>
      </c>
      <c r="G211" s="4">
        <v>2.0</v>
      </c>
      <c r="H211" s="9">
        <v>141.22</v>
      </c>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row>
    <row r="212" ht="15.75" customHeight="1">
      <c r="A212" s="6">
        <v>41403.0</v>
      </c>
      <c r="B212" s="7">
        <v>5.0</v>
      </c>
      <c r="C212" s="1" t="s">
        <v>15</v>
      </c>
      <c r="D212" s="1" t="s">
        <v>9</v>
      </c>
      <c r="E212" s="1" t="s">
        <v>10</v>
      </c>
      <c r="F212" s="1" t="s">
        <v>19</v>
      </c>
      <c r="G212" s="4">
        <v>10.0</v>
      </c>
      <c r="H212" s="9">
        <v>463.4</v>
      </c>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row>
    <row r="213" ht="15.75" customHeight="1">
      <c r="A213" s="6">
        <v>41403.0</v>
      </c>
      <c r="B213" s="7">
        <v>5.0</v>
      </c>
      <c r="C213" s="1" t="s">
        <v>15</v>
      </c>
      <c r="D213" s="1" t="s">
        <v>20</v>
      </c>
      <c r="E213" s="1" t="s">
        <v>12</v>
      </c>
      <c r="F213" s="1" t="s">
        <v>11</v>
      </c>
      <c r="G213" s="4">
        <v>5.0</v>
      </c>
      <c r="H213" s="9">
        <v>166.54</v>
      </c>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row>
    <row r="214" ht="15.75" customHeight="1">
      <c r="A214" s="6">
        <v>41404.0</v>
      </c>
      <c r="B214" s="7">
        <v>6.0</v>
      </c>
      <c r="C214" s="1" t="s">
        <v>8</v>
      </c>
      <c r="D214" s="1" t="s">
        <v>21</v>
      </c>
      <c r="E214" s="1" t="s">
        <v>12</v>
      </c>
      <c r="F214" s="1" t="s">
        <v>11</v>
      </c>
      <c r="G214" s="4">
        <v>6.0</v>
      </c>
      <c r="H214" s="9">
        <v>260.62</v>
      </c>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row>
    <row r="215" ht="15.75" customHeight="1">
      <c r="A215" s="6">
        <v>41404.0</v>
      </c>
      <c r="B215" s="7">
        <v>6.0</v>
      </c>
      <c r="C215" s="1" t="s">
        <v>14</v>
      </c>
      <c r="D215" s="1" t="s">
        <v>21</v>
      </c>
      <c r="E215" s="1" t="s">
        <v>10</v>
      </c>
      <c r="F215" s="1" t="s">
        <v>11</v>
      </c>
      <c r="G215" s="4">
        <v>1.0</v>
      </c>
      <c r="H215" s="9">
        <v>79.16</v>
      </c>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row>
    <row r="216" ht="15.75" customHeight="1">
      <c r="A216" s="6">
        <v>41405.0</v>
      </c>
      <c r="B216" s="7">
        <v>7.0</v>
      </c>
      <c r="C216" s="1" t="s">
        <v>14</v>
      </c>
      <c r="D216" s="1" t="s">
        <v>9</v>
      </c>
      <c r="E216" s="8" t="s">
        <v>12</v>
      </c>
      <c r="F216" s="1" t="s">
        <v>11</v>
      </c>
      <c r="G216" s="4">
        <v>6.0</v>
      </c>
      <c r="H216" s="9">
        <v>320.4</v>
      </c>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row>
    <row r="217" ht="15.75" customHeight="1">
      <c r="A217" s="6">
        <v>41405.0</v>
      </c>
      <c r="B217" s="7">
        <v>7.0</v>
      </c>
      <c r="C217" s="1" t="s">
        <v>15</v>
      </c>
      <c r="D217" s="1" t="s">
        <v>21</v>
      </c>
      <c r="E217" s="1" t="s">
        <v>17</v>
      </c>
      <c r="F217" s="1" t="s">
        <v>19</v>
      </c>
      <c r="G217" s="4">
        <v>2.0</v>
      </c>
      <c r="H217" s="9">
        <v>79.01</v>
      </c>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row>
    <row r="218" ht="15.75" customHeight="1">
      <c r="A218" s="6">
        <v>41406.0</v>
      </c>
      <c r="B218" s="7">
        <v>1.0</v>
      </c>
      <c r="C218" s="1" t="s">
        <v>8</v>
      </c>
      <c r="D218" s="1" t="s">
        <v>9</v>
      </c>
      <c r="E218" s="8" t="s">
        <v>12</v>
      </c>
      <c r="F218" s="1" t="s">
        <v>11</v>
      </c>
      <c r="G218" s="4">
        <v>2.0</v>
      </c>
      <c r="H218" s="9">
        <v>126.22</v>
      </c>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row>
    <row r="219" ht="15.75" customHeight="1">
      <c r="A219" s="6">
        <v>41406.0</v>
      </c>
      <c r="B219" s="7">
        <v>1.0</v>
      </c>
      <c r="C219" s="1" t="s">
        <v>15</v>
      </c>
      <c r="D219" s="1" t="s">
        <v>18</v>
      </c>
      <c r="E219" s="1" t="s">
        <v>10</v>
      </c>
      <c r="F219" s="1" t="s">
        <v>19</v>
      </c>
      <c r="G219" s="4">
        <v>5.0</v>
      </c>
      <c r="H219" s="9">
        <v>263.45</v>
      </c>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row>
    <row r="220" ht="15.75" customHeight="1">
      <c r="A220" s="6">
        <v>41407.0</v>
      </c>
      <c r="B220" s="7">
        <v>2.0</v>
      </c>
      <c r="C220" s="1" t="s">
        <v>8</v>
      </c>
      <c r="D220" s="1" t="s">
        <v>20</v>
      </c>
      <c r="E220" s="1" t="s">
        <v>17</v>
      </c>
      <c r="F220" s="1" t="s">
        <v>19</v>
      </c>
      <c r="G220" s="4">
        <v>3.0</v>
      </c>
      <c r="H220" s="9">
        <v>135.86</v>
      </c>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row>
    <row r="221" ht="15.75" customHeight="1">
      <c r="A221" s="6">
        <v>41407.0</v>
      </c>
      <c r="B221" s="7">
        <v>2.0</v>
      </c>
      <c r="C221" s="1" t="s">
        <v>14</v>
      </c>
      <c r="D221" s="1" t="s">
        <v>9</v>
      </c>
      <c r="E221" s="8" t="s">
        <v>10</v>
      </c>
      <c r="F221" s="1" t="s">
        <v>19</v>
      </c>
      <c r="G221" s="4">
        <v>1.0</v>
      </c>
      <c r="H221" s="9">
        <v>98.74</v>
      </c>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row>
    <row r="222" ht="15.75" customHeight="1">
      <c r="A222" s="6">
        <v>41407.0</v>
      </c>
      <c r="B222" s="7">
        <v>2.0</v>
      </c>
      <c r="C222" s="1" t="s">
        <v>15</v>
      </c>
      <c r="D222" s="1" t="s">
        <v>20</v>
      </c>
      <c r="E222" s="8" t="s">
        <v>12</v>
      </c>
      <c r="F222" s="1" t="s">
        <v>11</v>
      </c>
      <c r="G222" s="4">
        <v>1.0</v>
      </c>
      <c r="H222" s="9">
        <v>101.05</v>
      </c>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row>
    <row r="223" ht="15.75" customHeight="1">
      <c r="A223" s="6">
        <v>41407.0</v>
      </c>
      <c r="B223" s="7">
        <v>2.0</v>
      </c>
      <c r="C223" s="1" t="s">
        <v>15</v>
      </c>
      <c r="D223" s="1" t="s">
        <v>18</v>
      </c>
      <c r="E223" s="8" t="s">
        <v>17</v>
      </c>
      <c r="F223" s="1" t="s">
        <v>19</v>
      </c>
      <c r="G223" s="4">
        <v>7.0</v>
      </c>
      <c r="H223" s="9">
        <v>361.6</v>
      </c>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row>
    <row r="224" ht="15.75" customHeight="1">
      <c r="A224" s="6">
        <v>41408.0</v>
      </c>
      <c r="B224" s="7">
        <v>3.0</v>
      </c>
      <c r="C224" s="1" t="s">
        <v>15</v>
      </c>
      <c r="D224" s="1" t="s">
        <v>18</v>
      </c>
      <c r="E224" s="1" t="s">
        <v>10</v>
      </c>
      <c r="F224" s="1" t="s">
        <v>11</v>
      </c>
      <c r="G224" s="4">
        <v>3.0</v>
      </c>
      <c r="H224" s="9">
        <v>120.56</v>
      </c>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row>
    <row r="225" ht="15.75" customHeight="1">
      <c r="A225" s="6">
        <v>41409.0</v>
      </c>
      <c r="B225" s="7">
        <v>4.0</v>
      </c>
      <c r="C225" s="1" t="s">
        <v>8</v>
      </c>
      <c r="D225" s="1" t="s">
        <v>9</v>
      </c>
      <c r="E225" s="1" t="s">
        <v>12</v>
      </c>
      <c r="F225" s="1" t="s">
        <v>11</v>
      </c>
      <c r="G225" s="4">
        <v>1.0</v>
      </c>
      <c r="H225" s="9">
        <v>52.68</v>
      </c>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row>
    <row r="226" ht="15.75" customHeight="1">
      <c r="A226" s="6">
        <v>41409.0</v>
      </c>
      <c r="B226" s="7">
        <v>4.0</v>
      </c>
      <c r="C226" s="1" t="s">
        <v>8</v>
      </c>
      <c r="D226" s="1" t="s">
        <v>18</v>
      </c>
      <c r="E226" s="1" t="s">
        <v>10</v>
      </c>
      <c r="F226" s="1" t="s">
        <v>11</v>
      </c>
      <c r="G226" s="4">
        <v>3.0</v>
      </c>
      <c r="H226" s="9">
        <v>99.51</v>
      </c>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row>
    <row r="227" ht="15.75" customHeight="1">
      <c r="A227" s="6">
        <v>41409.0</v>
      </c>
      <c r="B227" s="7">
        <v>4.0</v>
      </c>
      <c r="C227" s="1" t="s">
        <v>14</v>
      </c>
      <c r="D227" s="1" t="s">
        <v>20</v>
      </c>
      <c r="E227" s="1" t="s">
        <v>10</v>
      </c>
      <c r="F227" s="1" t="s">
        <v>11</v>
      </c>
      <c r="G227" s="4">
        <v>1.0</v>
      </c>
      <c r="H227" s="9">
        <v>85.29</v>
      </c>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row>
    <row r="228" ht="15.75" customHeight="1">
      <c r="A228" s="6">
        <v>41409.0</v>
      </c>
      <c r="B228" s="7">
        <v>4.0</v>
      </c>
      <c r="C228" s="1" t="s">
        <v>14</v>
      </c>
      <c r="D228" s="1" t="s">
        <v>18</v>
      </c>
      <c r="E228" s="1" t="s">
        <v>12</v>
      </c>
      <c r="F228" s="1" t="s">
        <v>11</v>
      </c>
      <c r="G228" s="4">
        <v>3.0</v>
      </c>
      <c r="H228" s="9">
        <v>143.59</v>
      </c>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row>
    <row r="229" ht="15.75" customHeight="1">
      <c r="A229" s="6">
        <v>41409.0</v>
      </c>
      <c r="B229" s="7">
        <v>4.0</v>
      </c>
      <c r="C229" s="1" t="s">
        <v>14</v>
      </c>
      <c r="D229" s="1" t="s">
        <v>20</v>
      </c>
      <c r="E229" s="8" t="s">
        <v>12</v>
      </c>
      <c r="F229" s="1" t="s">
        <v>11</v>
      </c>
      <c r="G229" s="4">
        <v>3.0</v>
      </c>
      <c r="H229" s="9">
        <v>197.13</v>
      </c>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row>
    <row r="230" ht="15.75" customHeight="1">
      <c r="A230" s="6">
        <v>41409.0</v>
      </c>
      <c r="B230" s="7">
        <v>4.0</v>
      </c>
      <c r="C230" s="1" t="s">
        <v>14</v>
      </c>
      <c r="D230" s="1" t="s">
        <v>20</v>
      </c>
      <c r="E230" s="1" t="s">
        <v>10</v>
      </c>
      <c r="F230" s="1" t="s">
        <v>11</v>
      </c>
      <c r="G230" s="4">
        <v>3.0</v>
      </c>
      <c r="H230" s="9">
        <v>190.74</v>
      </c>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row>
    <row r="231" ht="15.75" customHeight="1">
      <c r="A231" s="6">
        <v>41409.0</v>
      </c>
      <c r="B231" s="7">
        <v>4.0</v>
      </c>
      <c r="C231" s="1" t="s">
        <v>15</v>
      </c>
      <c r="D231" s="1" t="s">
        <v>9</v>
      </c>
      <c r="E231" s="1" t="s">
        <v>10</v>
      </c>
      <c r="F231" s="1" t="s">
        <v>19</v>
      </c>
      <c r="G231" s="4">
        <v>3.0</v>
      </c>
      <c r="H231" s="9">
        <v>111.44</v>
      </c>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row>
    <row r="232" ht="15.75" customHeight="1">
      <c r="A232" s="6">
        <v>41410.0</v>
      </c>
      <c r="B232" s="7">
        <v>5.0</v>
      </c>
      <c r="C232" s="1" t="s">
        <v>8</v>
      </c>
      <c r="D232" s="1" t="s">
        <v>9</v>
      </c>
      <c r="E232" s="1" t="s">
        <v>10</v>
      </c>
      <c r="F232" s="1" t="s">
        <v>19</v>
      </c>
      <c r="G232" s="4">
        <v>3.0</v>
      </c>
      <c r="H232" s="9">
        <v>153.39</v>
      </c>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row>
    <row r="233" ht="15.75" customHeight="1">
      <c r="A233" s="6">
        <v>41410.0</v>
      </c>
      <c r="B233" s="7">
        <v>5.0</v>
      </c>
      <c r="C233" s="1" t="s">
        <v>14</v>
      </c>
      <c r="D233" s="1" t="s">
        <v>21</v>
      </c>
      <c r="E233" s="1" t="s">
        <v>12</v>
      </c>
      <c r="F233" s="1" t="s">
        <v>11</v>
      </c>
      <c r="G233" s="4">
        <v>2.0</v>
      </c>
      <c r="H233" s="9">
        <v>65.4</v>
      </c>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row>
    <row r="234" ht="15.75" customHeight="1">
      <c r="A234" s="6">
        <v>41410.0</v>
      </c>
      <c r="B234" s="7">
        <v>5.0</v>
      </c>
      <c r="C234" s="1" t="s">
        <v>15</v>
      </c>
      <c r="D234" s="1" t="s">
        <v>18</v>
      </c>
      <c r="E234" s="8" t="s">
        <v>12</v>
      </c>
      <c r="F234" s="1" t="s">
        <v>11</v>
      </c>
      <c r="G234" s="4">
        <v>9.0</v>
      </c>
      <c r="H234" s="9">
        <v>448.2</v>
      </c>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row>
    <row r="235" ht="15.75" customHeight="1">
      <c r="A235" s="6">
        <v>41410.0</v>
      </c>
      <c r="B235" s="7">
        <v>5.0</v>
      </c>
      <c r="C235" s="1" t="s">
        <v>15</v>
      </c>
      <c r="D235" s="1" t="s">
        <v>20</v>
      </c>
      <c r="E235" s="8" t="s">
        <v>12</v>
      </c>
      <c r="F235" s="1" t="s">
        <v>19</v>
      </c>
      <c r="G235" s="4">
        <v>2.0</v>
      </c>
      <c r="H235" s="9">
        <v>123.19</v>
      </c>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row>
    <row r="236" ht="15.75" customHeight="1">
      <c r="A236" s="6">
        <v>41411.0</v>
      </c>
      <c r="B236" s="7">
        <v>6.0</v>
      </c>
      <c r="C236" s="1" t="s">
        <v>8</v>
      </c>
      <c r="D236" s="1" t="s">
        <v>20</v>
      </c>
      <c r="E236" s="8" t="s">
        <v>12</v>
      </c>
      <c r="F236" s="1" t="s">
        <v>11</v>
      </c>
      <c r="G236" s="4">
        <v>5.0</v>
      </c>
      <c r="H236" s="9">
        <v>210.28</v>
      </c>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row>
    <row r="237" ht="15.75" customHeight="1">
      <c r="A237" s="6">
        <v>41411.0</v>
      </c>
      <c r="B237" s="7">
        <v>6.0</v>
      </c>
      <c r="C237" s="1" t="s">
        <v>8</v>
      </c>
      <c r="D237" s="1" t="s">
        <v>18</v>
      </c>
      <c r="E237" s="1" t="s">
        <v>12</v>
      </c>
      <c r="F237" s="1" t="s">
        <v>11</v>
      </c>
      <c r="G237" s="4">
        <v>7.0</v>
      </c>
      <c r="H237" s="9">
        <v>349.46</v>
      </c>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row>
    <row r="238" ht="15.75" customHeight="1">
      <c r="A238" s="6">
        <v>41411.0</v>
      </c>
      <c r="B238" s="7">
        <v>6.0</v>
      </c>
      <c r="C238" s="1" t="s">
        <v>15</v>
      </c>
      <c r="D238" s="1" t="s">
        <v>20</v>
      </c>
      <c r="E238" s="8" t="s">
        <v>10</v>
      </c>
      <c r="F238" s="1" t="s">
        <v>19</v>
      </c>
      <c r="G238" s="4">
        <v>4.0</v>
      </c>
      <c r="H238" s="9">
        <v>290.63</v>
      </c>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row>
    <row r="239" ht="15.75" customHeight="1">
      <c r="A239" s="6">
        <v>41411.0</v>
      </c>
      <c r="B239" s="7">
        <v>6.0</v>
      </c>
      <c r="C239" s="1" t="s">
        <v>15</v>
      </c>
      <c r="D239" s="1" t="s">
        <v>21</v>
      </c>
      <c r="E239" s="1" t="s">
        <v>12</v>
      </c>
      <c r="F239" s="1" t="s">
        <v>11</v>
      </c>
      <c r="G239" s="4">
        <v>3.0</v>
      </c>
      <c r="H239" s="9">
        <v>103.03</v>
      </c>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row>
    <row r="240" ht="15.75" customHeight="1">
      <c r="A240" s="6">
        <v>41412.0</v>
      </c>
      <c r="B240" s="7">
        <v>7.0</v>
      </c>
      <c r="C240" s="1" t="s">
        <v>8</v>
      </c>
      <c r="D240" s="1" t="s">
        <v>20</v>
      </c>
      <c r="E240" s="1" t="s">
        <v>12</v>
      </c>
      <c r="F240" s="1" t="s">
        <v>19</v>
      </c>
      <c r="G240" s="4">
        <v>2.0</v>
      </c>
      <c r="H240" s="9">
        <v>112.54</v>
      </c>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row>
    <row r="241" ht="15.75" customHeight="1">
      <c r="A241" s="6">
        <v>41412.0</v>
      </c>
      <c r="B241" s="7">
        <v>7.0</v>
      </c>
      <c r="C241" s="1" t="s">
        <v>14</v>
      </c>
      <c r="D241" s="1" t="s">
        <v>21</v>
      </c>
      <c r="E241" s="8" t="s">
        <v>10</v>
      </c>
      <c r="F241" s="1" t="s">
        <v>19</v>
      </c>
      <c r="G241" s="4">
        <v>8.0</v>
      </c>
      <c r="H241" s="9">
        <v>399.36</v>
      </c>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row>
    <row r="242" ht="15.75" customHeight="1">
      <c r="A242" s="6">
        <v>41412.0</v>
      </c>
      <c r="B242" s="7">
        <v>7.0</v>
      </c>
      <c r="C242" s="1" t="s">
        <v>15</v>
      </c>
      <c r="D242" s="1" t="s">
        <v>20</v>
      </c>
      <c r="E242" s="1" t="s">
        <v>10</v>
      </c>
      <c r="F242" s="1" t="s">
        <v>19</v>
      </c>
      <c r="G242" s="4">
        <v>2.0</v>
      </c>
      <c r="H242" s="9">
        <v>68.18</v>
      </c>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row>
    <row r="243" ht="15.75" customHeight="1">
      <c r="A243" s="6">
        <v>41413.0</v>
      </c>
      <c r="B243" s="7">
        <v>1.0</v>
      </c>
      <c r="C243" s="1" t="s">
        <v>8</v>
      </c>
      <c r="D243" s="1" t="s">
        <v>21</v>
      </c>
      <c r="E243" s="1" t="s">
        <v>12</v>
      </c>
      <c r="F243" s="1" t="s">
        <v>19</v>
      </c>
      <c r="G243" s="4">
        <v>3.0</v>
      </c>
      <c r="H243" s="9">
        <v>146.58</v>
      </c>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row>
    <row r="244" ht="15.75" customHeight="1">
      <c r="A244" s="6">
        <v>41413.0</v>
      </c>
      <c r="B244" s="7">
        <v>1.0</v>
      </c>
      <c r="C244" s="1" t="s">
        <v>8</v>
      </c>
      <c r="D244" s="1" t="s">
        <v>21</v>
      </c>
      <c r="E244" s="8" t="s">
        <v>17</v>
      </c>
      <c r="F244" s="1" t="s">
        <v>11</v>
      </c>
      <c r="G244" s="4">
        <v>6.0</v>
      </c>
      <c r="H244" s="9">
        <v>309.5</v>
      </c>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row>
    <row r="245" ht="15.75" customHeight="1">
      <c r="A245" s="6">
        <v>41413.0</v>
      </c>
      <c r="B245" s="7">
        <v>1.0</v>
      </c>
      <c r="C245" s="1" t="s">
        <v>8</v>
      </c>
      <c r="D245" s="1" t="s">
        <v>9</v>
      </c>
      <c r="E245" s="1" t="s">
        <v>12</v>
      </c>
      <c r="F245" s="1" t="s">
        <v>19</v>
      </c>
      <c r="G245" s="4">
        <v>5.0</v>
      </c>
      <c r="H245" s="9">
        <v>177.96</v>
      </c>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row>
    <row r="246" ht="15.75" customHeight="1">
      <c r="A246" s="6">
        <v>41413.0</v>
      </c>
      <c r="B246" s="7">
        <v>1.0</v>
      </c>
      <c r="C246" s="1" t="s">
        <v>8</v>
      </c>
      <c r="D246" s="1" t="s">
        <v>20</v>
      </c>
      <c r="E246" s="8" t="s">
        <v>12</v>
      </c>
      <c r="F246" s="1" t="s">
        <v>19</v>
      </c>
      <c r="G246" s="4">
        <v>2.0</v>
      </c>
      <c r="H246" s="9">
        <v>119.46</v>
      </c>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row>
    <row r="247" ht="15.75" customHeight="1">
      <c r="A247" s="6">
        <v>41413.0</v>
      </c>
      <c r="B247" s="7">
        <v>1.0</v>
      </c>
      <c r="C247" s="1" t="s">
        <v>14</v>
      </c>
      <c r="D247" s="1" t="s">
        <v>9</v>
      </c>
      <c r="E247" s="1" t="s">
        <v>17</v>
      </c>
      <c r="F247" s="1" t="s">
        <v>11</v>
      </c>
      <c r="G247" s="4">
        <v>3.0</v>
      </c>
      <c r="H247" s="9">
        <v>119.66</v>
      </c>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row>
    <row r="248" ht="15.75" customHeight="1">
      <c r="A248" s="6">
        <v>41413.0</v>
      </c>
      <c r="B248" s="7">
        <v>1.0</v>
      </c>
      <c r="C248" s="1" t="s">
        <v>14</v>
      </c>
      <c r="D248" s="1" t="s">
        <v>21</v>
      </c>
      <c r="E248" s="1" t="s">
        <v>17</v>
      </c>
      <c r="F248" s="1" t="s">
        <v>11</v>
      </c>
      <c r="G248" s="4">
        <v>4.0</v>
      </c>
      <c r="H248" s="9">
        <v>168.87</v>
      </c>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row>
    <row r="249" ht="15.75" customHeight="1">
      <c r="A249" s="6">
        <v>41413.0</v>
      </c>
      <c r="B249" s="7">
        <v>1.0</v>
      </c>
      <c r="C249" s="1" t="s">
        <v>14</v>
      </c>
      <c r="D249" s="1" t="s">
        <v>20</v>
      </c>
      <c r="E249" s="1" t="s">
        <v>17</v>
      </c>
      <c r="F249" s="1" t="s">
        <v>11</v>
      </c>
      <c r="G249" s="4">
        <v>4.0</v>
      </c>
      <c r="H249" s="9">
        <v>192.39</v>
      </c>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row>
    <row r="250" ht="15.75" customHeight="1">
      <c r="A250" s="6">
        <v>41413.0</v>
      </c>
      <c r="B250" s="7">
        <v>1.0</v>
      </c>
      <c r="C250" s="1" t="s">
        <v>14</v>
      </c>
      <c r="D250" s="1" t="s">
        <v>20</v>
      </c>
      <c r="E250" s="1" t="s">
        <v>10</v>
      </c>
      <c r="F250" s="1" t="s">
        <v>11</v>
      </c>
      <c r="G250" s="4">
        <v>2.0</v>
      </c>
      <c r="H250" s="9">
        <v>101.73</v>
      </c>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row>
    <row r="251" ht="15.75" customHeight="1">
      <c r="A251" s="6">
        <v>41413.0</v>
      </c>
      <c r="B251" s="7">
        <v>1.0</v>
      </c>
      <c r="C251" s="1" t="s">
        <v>14</v>
      </c>
      <c r="D251" s="1" t="s">
        <v>18</v>
      </c>
      <c r="E251" s="1" t="s">
        <v>12</v>
      </c>
      <c r="F251" s="1" t="s">
        <v>19</v>
      </c>
      <c r="G251" s="4">
        <v>2.0</v>
      </c>
      <c r="H251" s="9">
        <v>74.94</v>
      </c>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row>
    <row r="252" ht="15.75" customHeight="1">
      <c r="A252" s="6">
        <v>41413.0</v>
      </c>
      <c r="B252" s="7">
        <v>1.0</v>
      </c>
      <c r="C252" s="1" t="s">
        <v>15</v>
      </c>
      <c r="D252" s="1" t="s">
        <v>21</v>
      </c>
      <c r="E252" s="1" t="s">
        <v>17</v>
      </c>
      <c r="F252" s="1" t="s">
        <v>11</v>
      </c>
      <c r="G252" s="4">
        <v>8.0</v>
      </c>
      <c r="H252" s="9">
        <v>291.3</v>
      </c>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row>
    <row r="253" ht="15.75" customHeight="1">
      <c r="A253" s="6">
        <v>41414.0</v>
      </c>
      <c r="B253" s="7">
        <v>2.0</v>
      </c>
      <c r="C253" s="1" t="s">
        <v>14</v>
      </c>
      <c r="D253" s="1" t="s">
        <v>9</v>
      </c>
      <c r="E253" s="8" t="s">
        <v>17</v>
      </c>
      <c r="F253" s="1" t="s">
        <v>11</v>
      </c>
      <c r="G253" s="4">
        <v>3.0</v>
      </c>
      <c r="H253" s="9">
        <v>161.0</v>
      </c>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row>
    <row r="254" ht="15.75" customHeight="1">
      <c r="A254" s="6">
        <v>41415.0</v>
      </c>
      <c r="B254" s="7">
        <v>3.0</v>
      </c>
      <c r="C254" s="1" t="s">
        <v>14</v>
      </c>
      <c r="D254" s="1" t="s">
        <v>9</v>
      </c>
      <c r="E254" s="1" t="s">
        <v>10</v>
      </c>
      <c r="F254" s="1" t="s">
        <v>11</v>
      </c>
      <c r="G254" s="4">
        <v>3.0</v>
      </c>
      <c r="H254" s="9">
        <v>116.01</v>
      </c>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row>
    <row r="255" ht="15.75" customHeight="1">
      <c r="A255" s="6">
        <v>41415.0</v>
      </c>
      <c r="B255" s="7">
        <v>3.0</v>
      </c>
      <c r="C255" s="1" t="s">
        <v>14</v>
      </c>
      <c r="D255" s="1" t="s">
        <v>9</v>
      </c>
      <c r="E255" s="1" t="s">
        <v>10</v>
      </c>
      <c r="F255" s="1" t="s">
        <v>19</v>
      </c>
      <c r="G255" s="4">
        <v>2.0</v>
      </c>
      <c r="H255" s="9">
        <v>74.39</v>
      </c>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row>
    <row r="256" ht="15.75" customHeight="1">
      <c r="A256" s="6">
        <v>41415.0</v>
      </c>
      <c r="B256" s="7">
        <v>3.0</v>
      </c>
      <c r="C256" s="1" t="s">
        <v>15</v>
      </c>
      <c r="D256" s="1" t="s">
        <v>18</v>
      </c>
      <c r="E256" s="1" t="s">
        <v>10</v>
      </c>
      <c r="F256" s="1" t="s">
        <v>19</v>
      </c>
      <c r="G256" s="4">
        <v>4.0</v>
      </c>
      <c r="H256" s="9">
        <v>226.25</v>
      </c>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row>
    <row r="257" ht="15.75" customHeight="1">
      <c r="A257" s="6">
        <v>41415.0</v>
      </c>
      <c r="B257" s="7">
        <v>3.0</v>
      </c>
      <c r="C257" s="1" t="s">
        <v>15</v>
      </c>
      <c r="D257" s="1" t="s">
        <v>9</v>
      </c>
      <c r="E257" s="1" t="s">
        <v>17</v>
      </c>
      <c r="F257" s="1" t="s">
        <v>19</v>
      </c>
      <c r="G257" s="4">
        <v>3.0</v>
      </c>
      <c r="H257" s="9">
        <v>135.19</v>
      </c>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row>
    <row r="258" ht="15.75" customHeight="1">
      <c r="A258" s="6">
        <v>41416.0</v>
      </c>
      <c r="B258" s="7">
        <v>4.0</v>
      </c>
      <c r="C258" s="1" t="s">
        <v>8</v>
      </c>
      <c r="D258" s="1" t="s">
        <v>9</v>
      </c>
      <c r="E258" s="1" t="s">
        <v>12</v>
      </c>
      <c r="F258" s="1" t="s">
        <v>19</v>
      </c>
      <c r="G258" s="4">
        <v>4.0</v>
      </c>
      <c r="H258" s="9">
        <v>126.16</v>
      </c>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row>
    <row r="259" ht="15.75" customHeight="1">
      <c r="A259" s="6">
        <v>41416.0</v>
      </c>
      <c r="B259" s="7">
        <v>4.0</v>
      </c>
      <c r="C259" s="1" t="s">
        <v>14</v>
      </c>
      <c r="D259" s="1" t="s">
        <v>20</v>
      </c>
      <c r="E259" s="1" t="s">
        <v>17</v>
      </c>
      <c r="F259" s="1" t="s">
        <v>11</v>
      </c>
      <c r="G259" s="4">
        <v>4.0</v>
      </c>
      <c r="H259" s="9">
        <v>156.3</v>
      </c>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row>
    <row r="260" ht="15.75" customHeight="1">
      <c r="A260" s="6">
        <v>41416.0</v>
      </c>
      <c r="B260" s="7">
        <v>4.0</v>
      </c>
      <c r="C260" s="1" t="s">
        <v>14</v>
      </c>
      <c r="D260" s="1" t="s">
        <v>20</v>
      </c>
      <c r="E260" s="8" t="s">
        <v>12</v>
      </c>
      <c r="F260" s="1" t="s">
        <v>11</v>
      </c>
      <c r="G260" s="4">
        <v>3.0</v>
      </c>
      <c r="H260" s="9">
        <v>73.42</v>
      </c>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row>
    <row r="261" ht="15.75" customHeight="1">
      <c r="A261" s="6">
        <v>41416.0</v>
      </c>
      <c r="B261" s="7">
        <v>4.0</v>
      </c>
      <c r="C261" s="1" t="s">
        <v>14</v>
      </c>
      <c r="D261" s="1" t="s">
        <v>18</v>
      </c>
      <c r="E261" s="1" t="s">
        <v>10</v>
      </c>
      <c r="F261" s="1" t="s">
        <v>11</v>
      </c>
      <c r="G261" s="4">
        <v>7.0</v>
      </c>
      <c r="H261" s="9">
        <v>310.74</v>
      </c>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row>
    <row r="262" ht="15.75" customHeight="1">
      <c r="A262" s="6">
        <v>41416.0</v>
      </c>
      <c r="B262" s="7">
        <v>4.0</v>
      </c>
      <c r="C262" s="1" t="s">
        <v>14</v>
      </c>
      <c r="D262" s="1" t="s">
        <v>18</v>
      </c>
      <c r="E262" s="8" t="s">
        <v>10</v>
      </c>
      <c r="F262" s="1" t="s">
        <v>11</v>
      </c>
      <c r="G262" s="4">
        <v>6.0</v>
      </c>
      <c r="H262" s="9">
        <v>296.26</v>
      </c>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row>
    <row r="263" ht="15.75" customHeight="1">
      <c r="A263" s="6">
        <v>41416.0</v>
      </c>
      <c r="B263" s="7">
        <v>4.0</v>
      </c>
      <c r="C263" s="1" t="s">
        <v>15</v>
      </c>
      <c r="D263" s="1" t="s">
        <v>9</v>
      </c>
      <c r="E263" s="1" t="s">
        <v>17</v>
      </c>
      <c r="F263" s="1" t="s">
        <v>19</v>
      </c>
      <c r="G263" s="4">
        <v>2.0</v>
      </c>
      <c r="H263" s="9">
        <v>115.29</v>
      </c>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row>
    <row r="264" ht="15.75" customHeight="1">
      <c r="A264" s="6">
        <v>41417.0</v>
      </c>
      <c r="B264" s="7">
        <v>5.0</v>
      </c>
      <c r="C264" s="1" t="s">
        <v>15</v>
      </c>
      <c r="D264" s="1" t="s">
        <v>9</v>
      </c>
      <c r="E264" s="1" t="s">
        <v>12</v>
      </c>
      <c r="F264" s="1" t="s">
        <v>19</v>
      </c>
      <c r="G264" s="4">
        <v>4.0</v>
      </c>
      <c r="H264" s="9">
        <v>212.94</v>
      </c>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row>
    <row r="265" ht="15.75" customHeight="1">
      <c r="A265" s="6">
        <v>41418.0</v>
      </c>
      <c r="B265" s="7">
        <v>6.0</v>
      </c>
      <c r="C265" s="1" t="s">
        <v>8</v>
      </c>
      <c r="D265" s="1" t="s">
        <v>20</v>
      </c>
      <c r="E265" s="1" t="s">
        <v>10</v>
      </c>
      <c r="F265" s="1" t="s">
        <v>11</v>
      </c>
      <c r="G265" s="4">
        <v>2.0</v>
      </c>
      <c r="H265" s="9">
        <v>85.93</v>
      </c>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row>
    <row r="266" ht="15.75" customHeight="1">
      <c r="A266" s="6">
        <v>41418.0</v>
      </c>
      <c r="B266" s="7">
        <v>6.0</v>
      </c>
      <c r="C266" s="1" t="s">
        <v>14</v>
      </c>
      <c r="D266" s="1" t="s">
        <v>9</v>
      </c>
      <c r="E266" s="1" t="s">
        <v>12</v>
      </c>
      <c r="F266" s="1" t="s">
        <v>19</v>
      </c>
      <c r="G266" s="4">
        <v>2.0</v>
      </c>
      <c r="H266" s="9">
        <v>80.02</v>
      </c>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row>
    <row r="267" ht="15.75" customHeight="1">
      <c r="A267" s="6">
        <v>41418.0</v>
      </c>
      <c r="B267" s="7">
        <v>6.0</v>
      </c>
      <c r="C267" s="1" t="s">
        <v>14</v>
      </c>
      <c r="D267" s="1" t="s">
        <v>18</v>
      </c>
      <c r="E267" s="8" t="s">
        <v>17</v>
      </c>
      <c r="F267" s="1" t="s">
        <v>11</v>
      </c>
      <c r="G267" s="4">
        <v>5.0</v>
      </c>
      <c r="H267" s="9">
        <v>286.17</v>
      </c>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row>
    <row r="268" ht="15.75" customHeight="1">
      <c r="A268" s="6">
        <v>41419.0</v>
      </c>
      <c r="B268" s="7">
        <v>7.0</v>
      </c>
      <c r="C268" s="1" t="s">
        <v>8</v>
      </c>
      <c r="D268" s="1" t="s">
        <v>20</v>
      </c>
      <c r="E268" s="1" t="s">
        <v>10</v>
      </c>
      <c r="F268" s="1" t="s">
        <v>11</v>
      </c>
      <c r="G268" s="4">
        <v>4.0</v>
      </c>
      <c r="H268" s="9">
        <v>190.27</v>
      </c>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row>
    <row r="269" ht="15.75" customHeight="1">
      <c r="A269" s="6">
        <v>41419.0</v>
      </c>
      <c r="B269" s="7">
        <v>7.0</v>
      </c>
      <c r="C269" s="1" t="s">
        <v>14</v>
      </c>
      <c r="D269" s="1" t="s">
        <v>18</v>
      </c>
      <c r="E269" s="1" t="s">
        <v>12</v>
      </c>
      <c r="F269" s="1" t="s">
        <v>19</v>
      </c>
      <c r="G269" s="4">
        <v>5.0</v>
      </c>
      <c r="H269" s="9">
        <v>265.24</v>
      </c>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row>
    <row r="270" ht="15.75" customHeight="1">
      <c r="A270" s="6">
        <v>41419.0</v>
      </c>
      <c r="B270" s="7">
        <v>7.0</v>
      </c>
      <c r="C270" s="1" t="s">
        <v>14</v>
      </c>
      <c r="D270" s="1" t="s">
        <v>9</v>
      </c>
      <c r="E270" s="8" t="s">
        <v>10</v>
      </c>
      <c r="F270" s="1" t="s">
        <v>11</v>
      </c>
      <c r="G270" s="4">
        <v>7.0</v>
      </c>
      <c r="H270" s="9">
        <v>353.93</v>
      </c>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row>
    <row r="271" ht="15.75" customHeight="1">
      <c r="A271" s="6">
        <v>41420.0</v>
      </c>
      <c r="B271" s="7">
        <v>1.0</v>
      </c>
      <c r="C271" s="1" t="s">
        <v>8</v>
      </c>
      <c r="D271" s="1" t="s">
        <v>18</v>
      </c>
      <c r="E271" s="1" t="s">
        <v>12</v>
      </c>
      <c r="F271" s="1" t="s">
        <v>19</v>
      </c>
      <c r="G271" s="4">
        <v>5.0</v>
      </c>
      <c r="H271" s="9">
        <v>314.77</v>
      </c>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row>
    <row r="272" ht="15.75" customHeight="1">
      <c r="A272" s="6">
        <v>41420.0</v>
      </c>
      <c r="B272" s="7">
        <v>1.0</v>
      </c>
      <c r="C272" s="1" t="s">
        <v>14</v>
      </c>
      <c r="D272" s="1" t="s">
        <v>21</v>
      </c>
      <c r="E272" s="8" t="s">
        <v>12</v>
      </c>
      <c r="F272" s="1" t="s">
        <v>11</v>
      </c>
      <c r="G272" s="4">
        <v>2.0</v>
      </c>
      <c r="H272" s="9">
        <v>169.23</v>
      </c>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row>
    <row r="273" ht="15.75" customHeight="1">
      <c r="A273" s="6">
        <v>41420.0</v>
      </c>
      <c r="B273" s="7">
        <v>1.0</v>
      </c>
      <c r="C273" s="1" t="s">
        <v>15</v>
      </c>
      <c r="D273" s="1" t="s">
        <v>9</v>
      </c>
      <c r="E273" s="1" t="s">
        <v>10</v>
      </c>
      <c r="F273" s="1" t="s">
        <v>11</v>
      </c>
      <c r="G273" s="4">
        <v>3.0</v>
      </c>
      <c r="H273" s="9">
        <v>149.71</v>
      </c>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row>
    <row r="274" ht="15.75" customHeight="1">
      <c r="A274" s="6">
        <v>41420.0</v>
      </c>
      <c r="B274" s="7">
        <v>1.0</v>
      </c>
      <c r="C274" s="1" t="s">
        <v>15</v>
      </c>
      <c r="D274" s="1" t="s">
        <v>21</v>
      </c>
      <c r="E274" s="1" t="s">
        <v>10</v>
      </c>
      <c r="F274" s="1" t="s">
        <v>19</v>
      </c>
      <c r="G274" s="4">
        <v>2.0</v>
      </c>
      <c r="H274" s="9">
        <v>105.35</v>
      </c>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row>
    <row r="275" ht="15.75" customHeight="1">
      <c r="A275" s="6">
        <v>41421.0</v>
      </c>
      <c r="B275" s="7">
        <v>2.0</v>
      </c>
      <c r="C275" s="1" t="s">
        <v>14</v>
      </c>
      <c r="D275" s="1" t="s">
        <v>20</v>
      </c>
      <c r="E275" s="1" t="s">
        <v>12</v>
      </c>
      <c r="F275" s="1" t="s">
        <v>11</v>
      </c>
      <c r="G275" s="4">
        <v>2.0</v>
      </c>
      <c r="H275" s="9">
        <v>111.47</v>
      </c>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row>
    <row r="276" ht="15.75" customHeight="1">
      <c r="A276" s="6">
        <v>41421.0</v>
      </c>
      <c r="B276" s="7">
        <v>2.0</v>
      </c>
      <c r="C276" s="1" t="s">
        <v>15</v>
      </c>
      <c r="D276" s="1" t="s">
        <v>9</v>
      </c>
      <c r="E276" s="1" t="s">
        <v>10</v>
      </c>
      <c r="F276" s="1" t="s">
        <v>19</v>
      </c>
      <c r="G276" s="4">
        <v>9.0</v>
      </c>
      <c r="H276" s="9">
        <v>441.16</v>
      </c>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row>
    <row r="277" ht="15.75" customHeight="1">
      <c r="A277" s="6">
        <v>41422.0</v>
      </c>
      <c r="B277" s="7">
        <v>3.0</v>
      </c>
      <c r="C277" s="1" t="s">
        <v>8</v>
      </c>
      <c r="D277" s="1" t="s">
        <v>21</v>
      </c>
      <c r="E277" s="1" t="s">
        <v>10</v>
      </c>
      <c r="F277" s="1" t="s">
        <v>11</v>
      </c>
      <c r="G277" s="4">
        <v>5.0</v>
      </c>
      <c r="H277" s="9">
        <v>179.56</v>
      </c>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row>
    <row r="278" ht="15.75" customHeight="1">
      <c r="A278" s="6">
        <v>41422.0</v>
      </c>
      <c r="B278" s="7">
        <v>3.0</v>
      </c>
      <c r="C278" s="1" t="s">
        <v>15</v>
      </c>
      <c r="D278" s="1" t="s">
        <v>20</v>
      </c>
      <c r="E278" s="1" t="s">
        <v>10</v>
      </c>
      <c r="F278" s="1" t="s">
        <v>19</v>
      </c>
      <c r="G278" s="4">
        <v>2.0</v>
      </c>
      <c r="H278" s="9">
        <v>83.15</v>
      </c>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row>
    <row r="279" ht="15.75" customHeight="1">
      <c r="A279" s="6">
        <v>41423.0</v>
      </c>
      <c r="B279" s="7">
        <v>4.0</v>
      </c>
      <c r="C279" s="1" t="s">
        <v>15</v>
      </c>
      <c r="D279" s="1" t="s">
        <v>20</v>
      </c>
      <c r="E279" s="1" t="s">
        <v>12</v>
      </c>
      <c r="F279" s="1" t="s">
        <v>19</v>
      </c>
      <c r="G279" s="4">
        <v>4.0</v>
      </c>
      <c r="H279" s="9">
        <v>262.86</v>
      </c>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row>
    <row r="280" ht="15.75" customHeight="1">
      <c r="A280" s="6">
        <v>41423.0</v>
      </c>
      <c r="B280" s="7">
        <v>4.0</v>
      </c>
      <c r="C280" s="1" t="s">
        <v>15</v>
      </c>
      <c r="D280" s="1" t="s">
        <v>21</v>
      </c>
      <c r="E280" s="1" t="s">
        <v>12</v>
      </c>
      <c r="F280" s="1" t="s">
        <v>19</v>
      </c>
      <c r="G280" s="4">
        <v>2.0</v>
      </c>
      <c r="H280" s="9">
        <v>82.51</v>
      </c>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row>
    <row r="281" ht="15.75" customHeight="1">
      <c r="A281" s="6">
        <v>41424.0</v>
      </c>
      <c r="B281" s="7">
        <v>5.0</v>
      </c>
      <c r="C281" s="1" t="s">
        <v>8</v>
      </c>
      <c r="D281" s="1" t="s">
        <v>18</v>
      </c>
      <c r="E281" s="8" t="s">
        <v>10</v>
      </c>
      <c r="F281" s="1" t="s">
        <v>11</v>
      </c>
      <c r="G281" s="4">
        <v>5.0</v>
      </c>
      <c r="H281" s="9">
        <v>290.27</v>
      </c>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row>
    <row r="282" ht="15.75" customHeight="1">
      <c r="A282" s="6">
        <v>41424.0</v>
      </c>
      <c r="B282" s="7">
        <v>5.0</v>
      </c>
      <c r="C282" s="1" t="s">
        <v>8</v>
      </c>
      <c r="D282" s="1" t="s">
        <v>9</v>
      </c>
      <c r="E282" s="8" t="s">
        <v>12</v>
      </c>
      <c r="F282" s="1" t="s">
        <v>11</v>
      </c>
      <c r="G282" s="4">
        <v>5.0</v>
      </c>
      <c r="H282" s="9">
        <v>223.08</v>
      </c>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row>
    <row r="283" ht="15.75" customHeight="1">
      <c r="A283" s="6">
        <v>41424.0</v>
      </c>
      <c r="B283" s="7">
        <v>5.0</v>
      </c>
      <c r="C283" s="1" t="s">
        <v>14</v>
      </c>
      <c r="D283" s="1" t="s">
        <v>18</v>
      </c>
      <c r="E283" s="1" t="s">
        <v>10</v>
      </c>
      <c r="F283" s="1" t="s">
        <v>11</v>
      </c>
      <c r="G283" s="4">
        <v>3.0</v>
      </c>
      <c r="H283" s="9">
        <v>165.77</v>
      </c>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row>
    <row r="284" ht="15.75" customHeight="1">
      <c r="A284" s="6">
        <v>41424.0</v>
      </c>
      <c r="B284" s="7">
        <v>5.0</v>
      </c>
      <c r="C284" s="1" t="s">
        <v>15</v>
      </c>
      <c r="D284" s="1" t="s">
        <v>20</v>
      </c>
      <c r="E284" s="1" t="s">
        <v>12</v>
      </c>
      <c r="F284" s="1" t="s">
        <v>11</v>
      </c>
      <c r="G284" s="4">
        <v>2.0</v>
      </c>
      <c r="H284" s="9">
        <v>99.81</v>
      </c>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row>
    <row r="285" ht="15.75" customHeight="1">
      <c r="A285" s="6">
        <v>41425.0</v>
      </c>
      <c r="B285" s="7">
        <v>6.0</v>
      </c>
      <c r="C285" s="1" t="s">
        <v>8</v>
      </c>
      <c r="D285" s="1" t="s">
        <v>18</v>
      </c>
      <c r="E285" s="1" t="s">
        <v>12</v>
      </c>
      <c r="F285" s="1" t="s">
        <v>11</v>
      </c>
      <c r="G285" s="4">
        <v>3.0</v>
      </c>
      <c r="H285" s="9">
        <v>158.95</v>
      </c>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row>
    <row r="286" ht="15.75" customHeight="1">
      <c r="A286" s="6">
        <v>41425.0</v>
      </c>
      <c r="B286" s="7">
        <v>6.0</v>
      </c>
      <c r="C286" s="1" t="s">
        <v>8</v>
      </c>
      <c r="D286" s="1" t="s">
        <v>21</v>
      </c>
      <c r="E286" s="1" t="s">
        <v>12</v>
      </c>
      <c r="F286" s="1" t="s">
        <v>11</v>
      </c>
      <c r="G286" s="4">
        <v>5.0</v>
      </c>
      <c r="H286" s="9">
        <v>280.99</v>
      </c>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row>
    <row r="287" ht="15.75" customHeight="1">
      <c r="A287" s="6">
        <v>41425.0</v>
      </c>
      <c r="B287" s="7">
        <v>6.0</v>
      </c>
      <c r="C287" s="1" t="s">
        <v>8</v>
      </c>
      <c r="D287" s="1" t="s">
        <v>20</v>
      </c>
      <c r="E287" s="1" t="s">
        <v>12</v>
      </c>
      <c r="F287" s="1" t="s">
        <v>11</v>
      </c>
      <c r="G287" s="4">
        <v>4.0</v>
      </c>
      <c r="H287" s="9">
        <v>149.89</v>
      </c>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row>
    <row r="288" ht="15.75" customHeight="1">
      <c r="A288" s="6">
        <v>41425.0</v>
      </c>
      <c r="B288" s="7">
        <v>6.0</v>
      </c>
      <c r="C288" s="1" t="s">
        <v>14</v>
      </c>
      <c r="D288" s="1" t="s">
        <v>20</v>
      </c>
      <c r="E288" s="1" t="s">
        <v>10</v>
      </c>
      <c r="F288" s="1" t="s">
        <v>11</v>
      </c>
      <c r="G288" s="4">
        <v>7.0</v>
      </c>
      <c r="H288" s="9">
        <v>363.52</v>
      </c>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row>
    <row r="289" ht="15.75" customHeight="1">
      <c r="A289" s="6">
        <v>41425.0</v>
      </c>
      <c r="B289" s="7">
        <v>6.0</v>
      </c>
      <c r="C289" s="1" t="s">
        <v>15</v>
      </c>
      <c r="D289" s="1" t="s">
        <v>18</v>
      </c>
      <c r="E289" s="1" t="s">
        <v>10</v>
      </c>
      <c r="F289" s="1" t="s">
        <v>19</v>
      </c>
      <c r="G289" s="4">
        <v>2.0</v>
      </c>
      <c r="H289" s="9">
        <v>93.97</v>
      </c>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row>
    <row r="290" ht="15.75" customHeight="1">
      <c r="A290" s="6">
        <v>41426.0</v>
      </c>
      <c r="B290" s="7">
        <v>7.0</v>
      </c>
      <c r="C290" s="1" t="s">
        <v>14</v>
      </c>
      <c r="D290" s="1" t="s">
        <v>18</v>
      </c>
      <c r="E290" s="8" t="s">
        <v>12</v>
      </c>
      <c r="F290" s="1" t="s">
        <v>11</v>
      </c>
      <c r="G290" s="4">
        <v>8.0</v>
      </c>
      <c r="H290" s="9">
        <v>391.97</v>
      </c>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row>
    <row r="291" ht="15.75" customHeight="1">
      <c r="A291" s="6">
        <v>41426.0</v>
      </c>
      <c r="B291" s="7">
        <v>7.0</v>
      </c>
      <c r="C291" s="1" t="s">
        <v>14</v>
      </c>
      <c r="D291" s="1" t="s">
        <v>9</v>
      </c>
      <c r="E291" s="8" t="s">
        <v>10</v>
      </c>
      <c r="F291" s="1" t="s">
        <v>11</v>
      </c>
      <c r="G291" s="4">
        <v>5.0</v>
      </c>
      <c r="H291" s="9">
        <v>275.54</v>
      </c>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row>
    <row r="292" ht="15.75" customHeight="1">
      <c r="A292" s="6">
        <v>41426.0</v>
      </c>
      <c r="B292" s="7">
        <v>7.0</v>
      </c>
      <c r="C292" s="1" t="s">
        <v>14</v>
      </c>
      <c r="D292" s="1" t="s">
        <v>18</v>
      </c>
      <c r="E292" s="1" t="s">
        <v>10</v>
      </c>
      <c r="F292" s="1" t="s">
        <v>19</v>
      </c>
      <c r="G292" s="4">
        <v>1.0</v>
      </c>
      <c r="H292" s="9">
        <v>115.55</v>
      </c>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row>
    <row r="293" ht="15.75" customHeight="1">
      <c r="A293" s="6">
        <v>41426.0</v>
      </c>
      <c r="B293" s="7">
        <v>7.0</v>
      </c>
      <c r="C293" s="1" t="s">
        <v>15</v>
      </c>
      <c r="D293" s="1" t="s">
        <v>21</v>
      </c>
      <c r="E293" s="1" t="s">
        <v>12</v>
      </c>
      <c r="F293" s="1" t="s">
        <v>19</v>
      </c>
      <c r="G293" s="4">
        <v>3.0</v>
      </c>
      <c r="H293" s="9">
        <v>125.0</v>
      </c>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row>
    <row r="294" ht="15.75" customHeight="1">
      <c r="A294" s="6">
        <v>41426.0</v>
      </c>
      <c r="B294" s="7">
        <v>7.0</v>
      </c>
      <c r="C294" s="1" t="s">
        <v>15</v>
      </c>
      <c r="D294" s="1" t="s">
        <v>20</v>
      </c>
      <c r="E294" s="1" t="s">
        <v>12</v>
      </c>
      <c r="F294" s="1" t="s">
        <v>11</v>
      </c>
      <c r="G294" s="4">
        <v>1.0</v>
      </c>
      <c r="H294" s="9">
        <v>103.15</v>
      </c>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row>
    <row r="295" ht="15.75" customHeight="1">
      <c r="A295" s="6">
        <v>41426.0</v>
      </c>
      <c r="B295" s="7">
        <v>7.0</v>
      </c>
      <c r="C295" s="1" t="s">
        <v>15</v>
      </c>
      <c r="D295" s="1" t="s">
        <v>18</v>
      </c>
      <c r="E295" s="1" t="s">
        <v>12</v>
      </c>
      <c r="F295" s="1" t="s">
        <v>19</v>
      </c>
      <c r="G295" s="4">
        <v>9.0</v>
      </c>
      <c r="H295" s="9">
        <v>256.7</v>
      </c>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row>
    <row r="296" ht="15.75" customHeight="1">
      <c r="A296" s="6">
        <v>41426.0</v>
      </c>
      <c r="B296" s="7">
        <v>7.0</v>
      </c>
      <c r="C296" s="1" t="s">
        <v>15</v>
      </c>
      <c r="D296" s="1" t="s">
        <v>21</v>
      </c>
      <c r="E296" s="1" t="s">
        <v>10</v>
      </c>
      <c r="F296" s="1" t="s">
        <v>11</v>
      </c>
      <c r="G296" s="4">
        <v>1.0</v>
      </c>
      <c r="H296" s="9">
        <v>117.99</v>
      </c>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row>
    <row r="297" ht="15.75" customHeight="1">
      <c r="A297" s="6">
        <v>41426.0</v>
      </c>
      <c r="B297" s="7">
        <v>7.0</v>
      </c>
      <c r="C297" s="1" t="s">
        <v>15</v>
      </c>
      <c r="D297" s="1" t="s">
        <v>20</v>
      </c>
      <c r="E297" s="1" t="s">
        <v>10</v>
      </c>
      <c r="F297" s="1" t="s">
        <v>11</v>
      </c>
      <c r="G297" s="4">
        <v>2.0</v>
      </c>
      <c r="H297" s="9">
        <v>98.55</v>
      </c>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row>
    <row r="298" ht="15.75" customHeight="1">
      <c r="A298" s="6">
        <v>41427.0</v>
      </c>
      <c r="B298" s="7">
        <v>1.0</v>
      </c>
      <c r="C298" s="1" t="s">
        <v>8</v>
      </c>
      <c r="D298" s="1" t="s">
        <v>21</v>
      </c>
      <c r="E298" s="1" t="s">
        <v>17</v>
      </c>
      <c r="F298" s="1" t="s">
        <v>11</v>
      </c>
      <c r="G298" s="4">
        <v>2.0</v>
      </c>
      <c r="H298" s="9">
        <v>112.93</v>
      </c>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row>
    <row r="299" ht="15.75" customHeight="1">
      <c r="A299" s="6">
        <v>41427.0</v>
      </c>
      <c r="B299" s="7">
        <v>1.0</v>
      </c>
      <c r="C299" s="1" t="s">
        <v>15</v>
      </c>
      <c r="D299" s="1" t="s">
        <v>20</v>
      </c>
      <c r="E299" s="1" t="s">
        <v>10</v>
      </c>
      <c r="F299" s="1" t="s">
        <v>11</v>
      </c>
      <c r="G299" s="4">
        <v>2.0</v>
      </c>
      <c r="H299" s="9">
        <v>76.3</v>
      </c>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row>
    <row r="300" ht="15.75" customHeight="1">
      <c r="A300" s="6">
        <v>41428.0</v>
      </c>
      <c r="B300" s="7">
        <v>2.0</v>
      </c>
      <c r="C300" s="1" t="s">
        <v>14</v>
      </c>
      <c r="D300" s="1" t="s">
        <v>18</v>
      </c>
      <c r="E300" s="1" t="s">
        <v>17</v>
      </c>
      <c r="F300" s="1" t="s">
        <v>11</v>
      </c>
      <c r="G300" s="4">
        <v>2.0</v>
      </c>
      <c r="H300" s="9">
        <v>129.8</v>
      </c>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row>
    <row r="301" ht="15.75" customHeight="1">
      <c r="A301" s="6">
        <v>41428.0</v>
      </c>
      <c r="B301" s="7">
        <v>2.0</v>
      </c>
      <c r="C301" s="1" t="s">
        <v>15</v>
      </c>
      <c r="D301" s="1" t="s">
        <v>20</v>
      </c>
      <c r="E301" s="1" t="s">
        <v>12</v>
      </c>
      <c r="F301" s="1" t="s">
        <v>11</v>
      </c>
      <c r="G301" s="4">
        <v>3.0</v>
      </c>
      <c r="H301" s="9">
        <v>140.25</v>
      </c>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row>
    <row r="302" ht="15.75" customHeight="1">
      <c r="A302" s="6">
        <v>41429.0</v>
      </c>
      <c r="B302" s="7">
        <v>3.0</v>
      </c>
      <c r="C302" s="1" t="s">
        <v>8</v>
      </c>
      <c r="D302" s="1" t="s">
        <v>18</v>
      </c>
      <c r="E302" s="8" t="s">
        <v>12</v>
      </c>
      <c r="F302" s="1" t="s">
        <v>19</v>
      </c>
      <c r="G302" s="4">
        <v>3.0</v>
      </c>
      <c r="H302" s="9">
        <v>149.79</v>
      </c>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row>
    <row r="303" ht="15.75" customHeight="1">
      <c r="A303" s="6">
        <v>41429.0</v>
      </c>
      <c r="B303" s="7">
        <v>3.0</v>
      </c>
      <c r="C303" s="1" t="s">
        <v>8</v>
      </c>
      <c r="D303" s="1" t="s">
        <v>18</v>
      </c>
      <c r="E303" s="1" t="s">
        <v>12</v>
      </c>
      <c r="F303" s="1" t="s">
        <v>11</v>
      </c>
      <c r="G303" s="4">
        <v>4.0</v>
      </c>
      <c r="H303" s="9">
        <v>172.2</v>
      </c>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row>
    <row r="304" ht="15.75" customHeight="1">
      <c r="A304" s="6">
        <v>41429.0</v>
      </c>
      <c r="B304" s="7">
        <v>3.0</v>
      </c>
      <c r="C304" s="1" t="s">
        <v>15</v>
      </c>
      <c r="D304" s="1" t="s">
        <v>9</v>
      </c>
      <c r="E304" s="8" t="s">
        <v>10</v>
      </c>
      <c r="F304" s="1" t="s">
        <v>11</v>
      </c>
      <c r="G304" s="4">
        <v>3.0</v>
      </c>
      <c r="H304" s="9">
        <v>139.85</v>
      </c>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row>
    <row r="305" ht="15.75" customHeight="1">
      <c r="A305" s="6">
        <v>41429.0</v>
      </c>
      <c r="B305" s="7">
        <v>3.0</v>
      </c>
      <c r="C305" s="1" t="s">
        <v>15</v>
      </c>
      <c r="D305" s="1" t="s">
        <v>9</v>
      </c>
      <c r="E305" s="1" t="s">
        <v>17</v>
      </c>
      <c r="F305" s="1" t="s">
        <v>19</v>
      </c>
      <c r="G305" s="4">
        <v>1.0</v>
      </c>
      <c r="H305" s="9">
        <v>96.46</v>
      </c>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row>
    <row r="306" ht="15.75" customHeight="1">
      <c r="A306" s="6">
        <v>41429.0</v>
      </c>
      <c r="B306" s="7">
        <v>3.0</v>
      </c>
      <c r="C306" s="1" t="s">
        <v>15</v>
      </c>
      <c r="D306" s="1" t="s">
        <v>9</v>
      </c>
      <c r="E306" s="1" t="s">
        <v>10</v>
      </c>
      <c r="F306" s="1" t="s">
        <v>11</v>
      </c>
      <c r="G306" s="4">
        <v>3.0</v>
      </c>
      <c r="H306" s="9">
        <v>127.83</v>
      </c>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row>
    <row r="307" ht="15.75" customHeight="1">
      <c r="A307" s="6">
        <v>41430.0</v>
      </c>
      <c r="B307" s="7">
        <v>4.0</v>
      </c>
      <c r="C307" s="1" t="s">
        <v>15</v>
      </c>
      <c r="D307" s="1" t="s">
        <v>18</v>
      </c>
      <c r="E307" s="1" t="s">
        <v>10</v>
      </c>
      <c r="F307" s="1" t="s">
        <v>19</v>
      </c>
      <c r="G307" s="4">
        <v>6.0</v>
      </c>
      <c r="H307" s="9">
        <v>215.88</v>
      </c>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row>
    <row r="308" ht="15.75" customHeight="1">
      <c r="A308" s="6">
        <v>41431.0</v>
      </c>
      <c r="B308" s="7">
        <v>5.0</v>
      </c>
      <c r="C308" s="1" t="s">
        <v>8</v>
      </c>
      <c r="D308" s="1" t="s">
        <v>18</v>
      </c>
      <c r="E308" s="1" t="s">
        <v>12</v>
      </c>
      <c r="F308" s="1" t="s">
        <v>11</v>
      </c>
      <c r="G308" s="4">
        <v>2.0</v>
      </c>
      <c r="H308" s="9">
        <v>133.49</v>
      </c>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row>
    <row r="309" ht="15.75" customHeight="1">
      <c r="A309" s="6">
        <v>41431.0</v>
      </c>
      <c r="B309" s="7">
        <v>5.0</v>
      </c>
      <c r="C309" s="1" t="s">
        <v>15</v>
      </c>
      <c r="D309" s="1" t="s">
        <v>9</v>
      </c>
      <c r="E309" s="1" t="s">
        <v>10</v>
      </c>
      <c r="F309" s="1" t="s">
        <v>19</v>
      </c>
      <c r="G309" s="4">
        <v>2.0</v>
      </c>
      <c r="H309" s="9">
        <v>117.33</v>
      </c>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row>
    <row r="310" ht="15.75" customHeight="1">
      <c r="A310" s="6">
        <v>41432.0</v>
      </c>
      <c r="B310" s="7">
        <v>6.0</v>
      </c>
      <c r="C310" s="1" t="s">
        <v>8</v>
      </c>
      <c r="D310" s="1" t="s">
        <v>9</v>
      </c>
      <c r="E310" s="1" t="s">
        <v>10</v>
      </c>
      <c r="F310" s="1" t="s">
        <v>11</v>
      </c>
      <c r="G310" s="4">
        <v>2.0</v>
      </c>
      <c r="H310" s="9">
        <v>107.98</v>
      </c>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row>
    <row r="311" ht="15.75" customHeight="1">
      <c r="A311" s="6">
        <v>41432.0</v>
      </c>
      <c r="B311" s="7">
        <v>6.0</v>
      </c>
      <c r="C311" s="1" t="s">
        <v>14</v>
      </c>
      <c r="D311" s="1" t="s">
        <v>21</v>
      </c>
      <c r="E311" s="1" t="s">
        <v>10</v>
      </c>
      <c r="F311" s="1" t="s">
        <v>11</v>
      </c>
      <c r="G311" s="4">
        <v>6.0</v>
      </c>
      <c r="H311" s="9">
        <v>203.11</v>
      </c>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row>
    <row r="312" ht="15.75" customHeight="1">
      <c r="A312" s="6">
        <v>41432.0</v>
      </c>
      <c r="B312" s="7">
        <v>6.0</v>
      </c>
      <c r="C312" s="1" t="s">
        <v>14</v>
      </c>
      <c r="D312" s="1" t="s">
        <v>9</v>
      </c>
      <c r="E312" s="1" t="s">
        <v>10</v>
      </c>
      <c r="F312" s="1" t="s">
        <v>11</v>
      </c>
      <c r="G312" s="4">
        <v>5.0</v>
      </c>
      <c r="H312" s="9">
        <v>193.33</v>
      </c>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row>
    <row r="313" ht="15.75" customHeight="1">
      <c r="A313" s="6">
        <v>41432.0</v>
      </c>
      <c r="B313" s="7">
        <v>6.0</v>
      </c>
      <c r="C313" s="1" t="s">
        <v>15</v>
      </c>
      <c r="D313" s="1" t="s">
        <v>18</v>
      </c>
      <c r="E313" s="1" t="s">
        <v>17</v>
      </c>
      <c r="F313" s="1" t="s">
        <v>19</v>
      </c>
      <c r="G313" s="4">
        <v>7.0</v>
      </c>
      <c r="H313" s="9">
        <v>343.26</v>
      </c>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row>
    <row r="314" ht="15.75" customHeight="1">
      <c r="A314" s="6">
        <v>41433.0</v>
      </c>
      <c r="B314" s="7">
        <v>7.0</v>
      </c>
      <c r="C314" s="1" t="s">
        <v>8</v>
      </c>
      <c r="D314" s="1" t="s">
        <v>18</v>
      </c>
      <c r="E314" s="8" t="s">
        <v>12</v>
      </c>
      <c r="F314" s="1" t="s">
        <v>19</v>
      </c>
      <c r="G314" s="4">
        <v>11.0</v>
      </c>
      <c r="H314" s="9">
        <v>485.01</v>
      </c>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row>
    <row r="315" ht="15.75" customHeight="1">
      <c r="A315" s="6">
        <v>41433.0</v>
      </c>
      <c r="B315" s="7">
        <v>7.0</v>
      </c>
      <c r="C315" s="1" t="s">
        <v>15</v>
      </c>
      <c r="D315" s="1" t="s">
        <v>21</v>
      </c>
      <c r="E315" s="8" t="s">
        <v>12</v>
      </c>
      <c r="F315" s="1" t="s">
        <v>11</v>
      </c>
      <c r="G315" s="4">
        <v>4.0</v>
      </c>
      <c r="H315" s="9">
        <v>221.93</v>
      </c>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row>
    <row r="316" ht="15.75" customHeight="1">
      <c r="A316" s="6">
        <v>41433.0</v>
      </c>
      <c r="B316" s="7">
        <v>7.0</v>
      </c>
      <c r="C316" s="1" t="s">
        <v>15</v>
      </c>
      <c r="D316" s="1" t="s">
        <v>9</v>
      </c>
      <c r="E316" s="1" t="s">
        <v>17</v>
      </c>
      <c r="F316" s="1" t="s">
        <v>19</v>
      </c>
      <c r="G316" s="4">
        <v>2.0</v>
      </c>
      <c r="H316" s="9">
        <v>94.04</v>
      </c>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row>
    <row r="317" ht="15.75" customHeight="1">
      <c r="A317" s="6">
        <v>41433.0</v>
      </c>
      <c r="B317" s="7">
        <v>7.0</v>
      </c>
      <c r="C317" s="1" t="s">
        <v>15</v>
      </c>
      <c r="D317" s="1" t="s">
        <v>18</v>
      </c>
      <c r="E317" s="1" t="s">
        <v>12</v>
      </c>
      <c r="F317" s="1" t="s">
        <v>19</v>
      </c>
      <c r="G317" s="4">
        <v>1.0</v>
      </c>
      <c r="H317" s="9">
        <v>113.37</v>
      </c>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row>
    <row r="318" ht="15.75" customHeight="1">
      <c r="A318" s="6">
        <v>41434.0</v>
      </c>
      <c r="B318" s="7">
        <v>1.0</v>
      </c>
      <c r="C318" s="1" t="s">
        <v>14</v>
      </c>
      <c r="D318" s="1" t="s">
        <v>18</v>
      </c>
      <c r="E318" s="1" t="s">
        <v>17</v>
      </c>
      <c r="F318" s="1" t="s">
        <v>19</v>
      </c>
      <c r="G318" s="4">
        <v>5.0</v>
      </c>
      <c r="H318" s="9">
        <v>188.26</v>
      </c>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row>
    <row r="319" ht="15.75" customHeight="1">
      <c r="A319" s="6">
        <v>41435.0</v>
      </c>
      <c r="B319" s="7">
        <v>2.0</v>
      </c>
      <c r="C319" s="1" t="s">
        <v>14</v>
      </c>
      <c r="D319" s="1" t="s">
        <v>9</v>
      </c>
      <c r="E319" s="1" t="s">
        <v>10</v>
      </c>
      <c r="F319" s="1" t="s">
        <v>11</v>
      </c>
      <c r="G319" s="4">
        <v>4.0</v>
      </c>
      <c r="H319" s="9">
        <v>170.19</v>
      </c>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row>
    <row r="320" ht="15.75" customHeight="1">
      <c r="A320" s="6">
        <v>41435.0</v>
      </c>
      <c r="B320" s="7">
        <v>2.0</v>
      </c>
      <c r="C320" s="1" t="s">
        <v>14</v>
      </c>
      <c r="D320" s="1" t="s">
        <v>9</v>
      </c>
      <c r="E320" s="1" t="s">
        <v>17</v>
      </c>
      <c r="F320" s="1" t="s">
        <v>11</v>
      </c>
      <c r="G320" s="4">
        <v>4.0</v>
      </c>
      <c r="H320" s="9">
        <v>224.15</v>
      </c>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row>
    <row r="321" ht="15.75" customHeight="1">
      <c r="A321" s="6">
        <v>41435.0</v>
      </c>
      <c r="B321" s="7">
        <v>2.0</v>
      </c>
      <c r="C321" s="1" t="s">
        <v>14</v>
      </c>
      <c r="D321" s="1" t="s">
        <v>18</v>
      </c>
      <c r="E321" s="8" t="s">
        <v>17</v>
      </c>
      <c r="F321" s="1" t="s">
        <v>11</v>
      </c>
      <c r="G321" s="4">
        <v>7.0</v>
      </c>
      <c r="H321" s="9">
        <v>352.32</v>
      </c>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row>
    <row r="322" ht="15.75" customHeight="1">
      <c r="A322" s="6">
        <v>41435.0</v>
      </c>
      <c r="B322" s="7">
        <v>2.0</v>
      </c>
      <c r="C322" s="1" t="s">
        <v>15</v>
      </c>
      <c r="D322" s="1" t="s">
        <v>21</v>
      </c>
      <c r="E322" s="1" t="s">
        <v>17</v>
      </c>
      <c r="F322" s="1" t="s">
        <v>19</v>
      </c>
      <c r="G322" s="4">
        <v>4.0</v>
      </c>
      <c r="H322" s="9">
        <v>257.18</v>
      </c>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row>
    <row r="323" ht="15.75" customHeight="1">
      <c r="A323" s="6">
        <v>41435.0</v>
      </c>
      <c r="B323" s="7">
        <v>2.0</v>
      </c>
      <c r="C323" s="1" t="s">
        <v>15</v>
      </c>
      <c r="D323" s="1" t="s">
        <v>9</v>
      </c>
      <c r="E323" s="1" t="s">
        <v>10</v>
      </c>
      <c r="F323" s="1" t="s">
        <v>19</v>
      </c>
      <c r="G323" s="4">
        <v>2.0</v>
      </c>
      <c r="H323" s="9">
        <v>122.06</v>
      </c>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row>
    <row r="324" ht="15.75" customHeight="1">
      <c r="A324" s="6">
        <v>41435.0</v>
      </c>
      <c r="B324" s="7">
        <v>2.0</v>
      </c>
      <c r="C324" s="1" t="s">
        <v>15</v>
      </c>
      <c r="D324" s="1" t="s">
        <v>18</v>
      </c>
      <c r="E324" s="8" t="s">
        <v>10</v>
      </c>
      <c r="F324" s="1" t="s">
        <v>19</v>
      </c>
      <c r="G324" s="4">
        <v>4.0</v>
      </c>
      <c r="H324" s="9">
        <v>239.95</v>
      </c>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row>
    <row r="325" ht="15.75" customHeight="1">
      <c r="A325" s="6">
        <v>41436.0</v>
      </c>
      <c r="B325" s="7">
        <v>3.0</v>
      </c>
      <c r="C325" s="1" t="s">
        <v>14</v>
      </c>
      <c r="D325" s="1" t="s">
        <v>21</v>
      </c>
      <c r="E325" s="1" t="s">
        <v>12</v>
      </c>
      <c r="F325" s="1" t="s">
        <v>11</v>
      </c>
      <c r="G325" s="4">
        <v>3.0</v>
      </c>
      <c r="H325" s="9">
        <v>124.44</v>
      </c>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row>
    <row r="326" ht="15.75" customHeight="1">
      <c r="A326" s="6">
        <v>41436.0</v>
      </c>
      <c r="B326" s="7">
        <v>3.0</v>
      </c>
      <c r="C326" s="1" t="s">
        <v>14</v>
      </c>
      <c r="D326" s="1" t="s">
        <v>18</v>
      </c>
      <c r="E326" s="1" t="s">
        <v>10</v>
      </c>
      <c r="F326" s="1" t="s">
        <v>19</v>
      </c>
      <c r="G326" s="4">
        <v>4.0</v>
      </c>
      <c r="H326" s="9">
        <v>116.58</v>
      </c>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row>
    <row r="327" ht="15.75" customHeight="1">
      <c r="A327" s="6">
        <v>41436.0</v>
      </c>
      <c r="B327" s="7">
        <v>3.0</v>
      </c>
      <c r="C327" s="1" t="s">
        <v>14</v>
      </c>
      <c r="D327" s="1" t="s">
        <v>21</v>
      </c>
      <c r="E327" s="1" t="s">
        <v>17</v>
      </c>
      <c r="F327" s="1" t="s">
        <v>11</v>
      </c>
      <c r="G327" s="4">
        <v>2.0</v>
      </c>
      <c r="H327" s="9">
        <v>154.46</v>
      </c>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row>
    <row r="328" ht="15.75" customHeight="1">
      <c r="A328" s="6">
        <v>41436.0</v>
      </c>
      <c r="B328" s="7">
        <v>3.0</v>
      </c>
      <c r="C328" s="1" t="s">
        <v>15</v>
      </c>
      <c r="D328" s="1" t="s">
        <v>21</v>
      </c>
      <c r="E328" s="1" t="s">
        <v>12</v>
      </c>
      <c r="F328" s="1" t="s">
        <v>19</v>
      </c>
      <c r="G328" s="4">
        <v>1.0</v>
      </c>
      <c r="H328" s="9">
        <v>76.92</v>
      </c>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row>
    <row r="329" ht="15.75" customHeight="1">
      <c r="A329" s="6">
        <v>41436.0</v>
      </c>
      <c r="B329" s="7">
        <v>3.0</v>
      </c>
      <c r="C329" s="1" t="s">
        <v>15</v>
      </c>
      <c r="D329" s="1" t="s">
        <v>20</v>
      </c>
      <c r="E329" s="1" t="s">
        <v>12</v>
      </c>
      <c r="F329" s="1" t="s">
        <v>19</v>
      </c>
      <c r="G329" s="4">
        <v>4.0</v>
      </c>
      <c r="H329" s="9">
        <v>194.85</v>
      </c>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row>
    <row r="330" ht="15.75" customHeight="1">
      <c r="A330" s="6">
        <v>41437.0</v>
      </c>
      <c r="B330" s="7">
        <v>4.0</v>
      </c>
      <c r="C330" s="1" t="s">
        <v>8</v>
      </c>
      <c r="D330" s="1" t="s">
        <v>20</v>
      </c>
      <c r="E330" s="8" t="s">
        <v>12</v>
      </c>
      <c r="F330" s="1" t="s">
        <v>11</v>
      </c>
      <c r="G330" s="4">
        <v>6.0</v>
      </c>
      <c r="H330" s="9">
        <v>367.7</v>
      </c>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row>
    <row r="331" ht="15.75" customHeight="1">
      <c r="A331" s="6">
        <v>41437.0</v>
      </c>
      <c r="B331" s="7">
        <v>4.0</v>
      </c>
      <c r="C331" s="1" t="s">
        <v>15</v>
      </c>
      <c r="D331" s="1" t="s">
        <v>18</v>
      </c>
      <c r="E331" s="1" t="s">
        <v>17</v>
      </c>
      <c r="F331" s="1" t="s">
        <v>19</v>
      </c>
      <c r="G331" s="4">
        <v>1.0</v>
      </c>
      <c r="H331" s="9">
        <v>119.5</v>
      </c>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row>
    <row r="332" ht="15.75" customHeight="1">
      <c r="A332" s="6">
        <v>41437.0</v>
      </c>
      <c r="B332" s="7">
        <v>4.0</v>
      </c>
      <c r="C332" s="1" t="s">
        <v>15</v>
      </c>
      <c r="D332" s="1" t="s">
        <v>9</v>
      </c>
      <c r="E332" s="8" t="s">
        <v>12</v>
      </c>
      <c r="F332" s="1" t="s">
        <v>19</v>
      </c>
      <c r="G332" s="4">
        <v>7.0</v>
      </c>
      <c r="H332" s="9">
        <v>270.94</v>
      </c>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row>
    <row r="333" ht="15.75" customHeight="1">
      <c r="A333" s="6">
        <v>41437.0</v>
      </c>
      <c r="B333" s="7">
        <v>4.0</v>
      </c>
      <c r="C333" s="1" t="s">
        <v>15</v>
      </c>
      <c r="D333" s="1" t="s">
        <v>9</v>
      </c>
      <c r="E333" s="8" t="s">
        <v>17</v>
      </c>
      <c r="F333" s="1" t="s">
        <v>19</v>
      </c>
      <c r="G333" s="4">
        <v>2.0</v>
      </c>
      <c r="H333" s="9">
        <v>94.71</v>
      </c>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row>
    <row r="334" ht="15.75" customHeight="1">
      <c r="A334" s="6">
        <v>41438.0</v>
      </c>
      <c r="B334" s="7">
        <v>5.0</v>
      </c>
      <c r="C334" s="1" t="s">
        <v>8</v>
      </c>
      <c r="D334" s="1" t="s">
        <v>20</v>
      </c>
      <c r="E334" s="1" t="s">
        <v>10</v>
      </c>
      <c r="F334" s="1" t="s">
        <v>19</v>
      </c>
      <c r="G334" s="4">
        <v>4.0</v>
      </c>
      <c r="H334" s="9">
        <v>154.01</v>
      </c>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row>
    <row r="335" ht="15.75" customHeight="1">
      <c r="A335" s="6">
        <v>41438.0</v>
      </c>
      <c r="B335" s="7">
        <v>5.0</v>
      </c>
      <c r="C335" s="1" t="s">
        <v>8</v>
      </c>
      <c r="D335" s="1" t="s">
        <v>21</v>
      </c>
      <c r="E335" s="8" t="s">
        <v>10</v>
      </c>
      <c r="F335" s="1" t="s">
        <v>11</v>
      </c>
      <c r="G335" s="4">
        <v>5.0</v>
      </c>
      <c r="H335" s="9">
        <v>313.3</v>
      </c>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row>
    <row r="336" ht="15.75" customHeight="1">
      <c r="A336" s="6">
        <v>41438.0</v>
      </c>
      <c r="B336" s="7">
        <v>5.0</v>
      </c>
      <c r="C336" s="1" t="s">
        <v>14</v>
      </c>
      <c r="D336" s="1" t="s">
        <v>9</v>
      </c>
      <c r="E336" s="1" t="s">
        <v>10</v>
      </c>
      <c r="F336" s="1" t="s">
        <v>19</v>
      </c>
      <c r="G336" s="4">
        <v>7.0</v>
      </c>
      <c r="H336" s="9">
        <v>217.99</v>
      </c>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row>
    <row r="337" ht="15.75" customHeight="1">
      <c r="A337" s="6">
        <v>41439.0</v>
      </c>
      <c r="B337" s="7">
        <v>6.0</v>
      </c>
      <c r="C337" s="1" t="s">
        <v>14</v>
      </c>
      <c r="D337" s="1" t="s">
        <v>18</v>
      </c>
      <c r="E337" s="1" t="s">
        <v>10</v>
      </c>
      <c r="F337" s="1" t="s">
        <v>11</v>
      </c>
      <c r="G337" s="4">
        <v>3.0</v>
      </c>
      <c r="H337" s="9">
        <v>127.22</v>
      </c>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row>
    <row r="338" ht="15.75" customHeight="1">
      <c r="A338" s="6">
        <v>41439.0</v>
      </c>
      <c r="B338" s="7">
        <v>6.0</v>
      </c>
      <c r="C338" s="1" t="s">
        <v>14</v>
      </c>
      <c r="D338" s="1" t="s">
        <v>20</v>
      </c>
      <c r="E338" s="1" t="s">
        <v>12</v>
      </c>
      <c r="F338" s="1" t="s">
        <v>19</v>
      </c>
      <c r="G338" s="4">
        <v>1.0</v>
      </c>
      <c r="H338" s="9">
        <v>135.97</v>
      </c>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row>
    <row r="339" ht="15.75" customHeight="1">
      <c r="A339" s="6">
        <v>41439.0</v>
      </c>
      <c r="B339" s="7">
        <v>6.0</v>
      </c>
      <c r="C339" s="1" t="s">
        <v>14</v>
      </c>
      <c r="D339" s="1" t="s">
        <v>9</v>
      </c>
      <c r="E339" s="1" t="s">
        <v>12</v>
      </c>
      <c r="F339" s="1" t="s">
        <v>11</v>
      </c>
      <c r="G339" s="4">
        <v>1.0</v>
      </c>
      <c r="H339" s="9">
        <v>87.14</v>
      </c>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row>
    <row r="340" ht="15.75" customHeight="1">
      <c r="A340" s="6">
        <v>41439.0</v>
      </c>
      <c r="B340" s="7">
        <v>6.0</v>
      </c>
      <c r="C340" s="1" t="s">
        <v>14</v>
      </c>
      <c r="D340" s="1" t="s">
        <v>21</v>
      </c>
      <c r="E340" s="1" t="s">
        <v>10</v>
      </c>
      <c r="F340" s="1" t="s">
        <v>19</v>
      </c>
      <c r="G340" s="4">
        <v>2.0</v>
      </c>
      <c r="H340" s="9">
        <v>96.77</v>
      </c>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row>
    <row r="341" ht="15.75" customHeight="1">
      <c r="A341" s="6">
        <v>41439.0</v>
      </c>
      <c r="B341" s="7">
        <v>6.0</v>
      </c>
      <c r="C341" s="1" t="s">
        <v>15</v>
      </c>
      <c r="D341" s="1" t="s">
        <v>9</v>
      </c>
      <c r="E341" s="1" t="s">
        <v>12</v>
      </c>
      <c r="F341" s="1" t="s">
        <v>11</v>
      </c>
      <c r="G341" s="4">
        <v>1.0</v>
      </c>
      <c r="H341" s="9">
        <v>74.74</v>
      </c>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row>
    <row r="342" ht="15.75" customHeight="1">
      <c r="A342" s="6">
        <v>41440.0</v>
      </c>
      <c r="B342" s="7">
        <v>7.0</v>
      </c>
      <c r="C342" s="1" t="s">
        <v>8</v>
      </c>
      <c r="D342" s="1" t="s">
        <v>20</v>
      </c>
      <c r="E342" s="1" t="s">
        <v>17</v>
      </c>
      <c r="F342" s="1" t="s">
        <v>11</v>
      </c>
      <c r="G342" s="4">
        <v>1.0</v>
      </c>
      <c r="H342" s="9">
        <v>117.48</v>
      </c>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row>
    <row r="343" ht="15.75" customHeight="1">
      <c r="A343" s="6">
        <v>41440.0</v>
      </c>
      <c r="B343" s="7">
        <v>7.0</v>
      </c>
      <c r="C343" s="1" t="s">
        <v>8</v>
      </c>
      <c r="D343" s="1" t="s">
        <v>9</v>
      </c>
      <c r="E343" s="1" t="s">
        <v>10</v>
      </c>
      <c r="F343" s="1" t="s">
        <v>19</v>
      </c>
      <c r="G343" s="4">
        <v>2.0</v>
      </c>
      <c r="H343" s="9">
        <v>132.89</v>
      </c>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row>
    <row r="344" ht="15.75" customHeight="1">
      <c r="A344" s="6">
        <v>41440.0</v>
      </c>
      <c r="B344" s="7">
        <v>7.0</v>
      </c>
      <c r="C344" s="1" t="s">
        <v>8</v>
      </c>
      <c r="D344" s="1" t="s">
        <v>18</v>
      </c>
      <c r="E344" s="8" t="s">
        <v>10</v>
      </c>
      <c r="F344" s="1" t="s">
        <v>19</v>
      </c>
      <c r="G344" s="4">
        <v>5.0</v>
      </c>
      <c r="H344" s="9">
        <v>230.26</v>
      </c>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row>
    <row r="345" ht="15.75" customHeight="1">
      <c r="A345" s="6">
        <v>41440.0</v>
      </c>
      <c r="B345" s="7">
        <v>7.0</v>
      </c>
      <c r="C345" s="1" t="s">
        <v>14</v>
      </c>
      <c r="D345" s="1" t="s">
        <v>18</v>
      </c>
      <c r="E345" s="8" t="s">
        <v>10</v>
      </c>
      <c r="F345" s="1" t="s">
        <v>19</v>
      </c>
      <c r="G345" s="4">
        <v>10.0</v>
      </c>
      <c r="H345" s="9">
        <v>451.03</v>
      </c>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row>
    <row r="346" ht="15.75" customHeight="1">
      <c r="A346" s="6">
        <v>41440.0</v>
      </c>
      <c r="B346" s="7">
        <v>7.0</v>
      </c>
      <c r="C346" s="1" t="s">
        <v>14</v>
      </c>
      <c r="D346" s="1" t="s">
        <v>21</v>
      </c>
      <c r="E346" s="1" t="s">
        <v>17</v>
      </c>
      <c r="F346" s="1" t="s">
        <v>11</v>
      </c>
      <c r="G346" s="4">
        <v>3.0</v>
      </c>
      <c r="H346" s="9">
        <v>153.31</v>
      </c>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row>
    <row r="347" ht="15.75" customHeight="1">
      <c r="A347" s="6">
        <v>41441.0</v>
      </c>
      <c r="B347" s="7">
        <v>1.0</v>
      </c>
      <c r="C347" s="1" t="s">
        <v>8</v>
      </c>
      <c r="D347" s="1" t="s">
        <v>21</v>
      </c>
      <c r="E347" s="1" t="s">
        <v>12</v>
      </c>
      <c r="F347" s="1" t="s">
        <v>19</v>
      </c>
      <c r="G347" s="4">
        <v>3.0</v>
      </c>
      <c r="H347" s="9">
        <v>117.79</v>
      </c>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row>
    <row r="348" ht="15.75" customHeight="1">
      <c r="A348" s="6">
        <v>41442.0</v>
      </c>
      <c r="B348" s="7">
        <v>2.0</v>
      </c>
      <c r="C348" s="1" t="s">
        <v>8</v>
      </c>
      <c r="D348" s="1" t="s">
        <v>9</v>
      </c>
      <c r="E348" s="8" t="s">
        <v>10</v>
      </c>
      <c r="F348" s="1" t="s">
        <v>11</v>
      </c>
      <c r="G348" s="4">
        <v>7.0</v>
      </c>
      <c r="H348" s="9">
        <v>357.32</v>
      </c>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row>
    <row r="349" ht="15.75" customHeight="1">
      <c r="A349" s="6">
        <v>41442.0</v>
      </c>
      <c r="B349" s="7">
        <v>2.0</v>
      </c>
      <c r="C349" s="1" t="s">
        <v>14</v>
      </c>
      <c r="D349" s="1" t="s">
        <v>20</v>
      </c>
      <c r="E349" s="8" t="s">
        <v>10</v>
      </c>
      <c r="F349" s="1" t="s">
        <v>11</v>
      </c>
      <c r="G349" s="4">
        <v>7.0</v>
      </c>
      <c r="H349" s="9">
        <v>374.17</v>
      </c>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row>
    <row r="350" ht="15.75" customHeight="1">
      <c r="A350" s="6">
        <v>41443.0</v>
      </c>
      <c r="B350" s="7">
        <v>3.0</v>
      </c>
      <c r="C350" s="1" t="s">
        <v>14</v>
      </c>
      <c r="D350" s="1" t="s">
        <v>18</v>
      </c>
      <c r="E350" s="1" t="s">
        <v>12</v>
      </c>
      <c r="F350" s="1" t="s">
        <v>11</v>
      </c>
      <c r="G350" s="4">
        <v>3.0</v>
      </c>
      <c r="H350" s="9">
        <v>122.28</v>
      </c>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row>
    <row r="351" ht="15.75" customHeight="1">
      <c r="A351" s="6">
        <v>41443.0</v>
      </c>
      <c r="B351" s="7">
        <v>3.0</v>
      </c>
      <c r="C351" s="1" t="s">
        <v>15</v>
      </c>
      <c r="D351" s="1" t="s">
        <v>9</v>
      </c>
      <c r="E351" s="1" t="s">
        <v>12</v>
      </c>
      <c r="F351" s="1" t="s">
        <v>19</v>
      </c>
      <c r="G351" s="4">
        <v>2.0</v>
      </c>
      <c r="H351" s="9">
        <v>122.57</v>
      </c>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row>
    <row r="352" ht="15.75" customHeight="1">
      <c r="A352" s="6">
        <v>41444.0</v>
      </c>
      <c r="B352" s="7">
        <v>4.0</v>
      </c>
      <c r="C352" s="1" t="s">
        <v>15</v>
      </c>
      <c r="D352" s="1" t="s">
        <v>20</v>
      </c>
      <c r="E352" s="1" t="s">
        <v>17</v>
      </c>
      <c r="F352" s="1" t="s">
        <v>11</v>
      </c>
      <c r="G352" s="4">
        <v>2.0</v>
      </c>
      <c r="H352" s="9">
        <v>134.59</v>
      </c>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row>
    <row r="353" ht="15.75" customHeight="1">
      <c r="A353" s="6">
        <v>41444.0</v>
      </c>
      <c r="B353" s="7">
        <v>4.0</v>
      </c>
      <c r="C353" s="1" t="s">
        <v>15</v>
      </c>
      <c r="D353" s="1" t="s">
        <v>20</v>
      </c>
      <c r="E353" s="1" t="s">
        <v>10</v>
      </c>
      <c r="F353" s="1" t="s">
        <v>19</v>
      </c>
      <c r="G353" s="4">
        <v>1.0</v>
      </c>
      <c r="H353" s="9">
        <v>134.98</v>
      </c>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row>
    <row r="354" ht="15.75" customHeight="1">
      <c r="A354" s="6">
        <v>41444.0</v>
      </c>
      <c r="B354" s="7">
        <v>4.0</v>
      </c>
      <c r="C354" s="1" t="s">
        <v>15</v>
      </c>
      <c r="D354" s="1" t="s">
        <v>21</v>
      </c>
      <c r="E354" s="1" t="s">
        <v>17</v>
      </c>
      <c r="F354" s="1" t="s">
        <v>19</v>
      </c>
      <c r="G354" s="4">
        <v>1.0</v>
      </c>
      <c r="H354" s="9">
        <v>109.45</v>
      </c>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row>
    <row r="355" ht="15.75" customHeight="1">
      <c r="A355" s="6">
        <v>41445.0</v>
      </c>
      <c r="B355" s="7">
        <v>5.0</v>
      </c>
      <c r="C355" s="1" t="s">
        <v>8</v>
      </c>
      <c r="D355" s="1" t="s">
        <v>9</v>
      </c>
      <c r="E355" s="8" t="s">
        <v>10</v>
      </c>
      <c r="F355" s="1" t="s">
        <v>11</v>
      </c>
      <c r="G355" s="4">
        <v>3.0</v>
      </c>
      <c r="H355" s="9">
        <v>131.52</v>
      </c>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row>
    <row r="356" ht="15.75" customHeight="1">
      <c r="A356" s="6">
        <v>41446.0</v>
      </c>
      <c r="B356" s="7">
        <v>6.0</v>
      </c>
      <c r="C356" s="1" t="s">
        <v>8</v>
      </c>
      <c r="D356" s="1" t="s">
        <v>21</v>
      </c>
      <c r="E356" s="1" t="s">
        <v>10</v>
      </c>
      <c r="F356" s="1" t="s">
        <v>11</v>
      </c>
      <c r="G356" s="4">
        <v>1.0</v>
      </c>
      <c r="H356" s="9">
        <v>88.76</v>
      </c>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row>
    <row r="357" ht="15.75" customHeight="1">
      <c r="A357" s="6">
        <v>41446.0</v>
      </c>
      <c r="B357" s="7">
        <v>6.0</v>
      </c>
      <c r="C357" s="1" t="s">
        <v>8</v>
      </c>
      <c r="D357" s="1" t="s">
        <v>20</v>
      </c>
      <c r="E357" s="8" t="s">
        <v>12</v>
      </c>
      <c r="F357" s="1" t="s">
        <v>11</v>
      </c>
      <c r="G357" s="4">
        <v>2.0</v>
      </c>
      <c r="H357" s="9">
        <v>174.28</v>
      </c>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row>
    <row r="358" ht="15.75" customHeight="1">
      <c r="A358" s="6">
        <v>41446.0</v>
      </c>
      <c r="B358" s="7">
        <v>6.0</v>
      </c>
      <c r="C358" s="1" t="s">
        <v>14</v>
      </c>
      <c r="D358" s="1" t="s">
        <v>9</v>
      </c>
      <c r="E358" s="1" t="s">
        <v>12</v>
      </c>
      <c r="F358" s="1" t="s">
        <v>19</v>
      </c>
      <c r="G358" s="4">
        <v>1.0</v>
      </c>
      <c r="H358" s="9">
        <v>100.7</v>
      </c>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row>
    <row r="359" ht="15.75" customHeight="1">
      <c r="A359" s="6">
        <v>41446.0</v>
      </c>
      <c r="B359" s="7">
        <v>6.0</v>
      </c>
      <c r="C359" s="1" t="s">
        <v>14</v>
      </c>
      <c r="D359" s="1" t="s">
        <v>18</v>
      </c>
      <c r="E359" s="8" t="s">
        <v>12</v>
      </c>
      <c r="F359" s="1" t="s">
        <v>11</v>
      </c>
      <c r="G359" s="4">
        <v>7.0</v>
      </c>
      <c r="H359" s="9">
        <v>387.43</v>
      </c>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row>
    <row r="360" ht="15.75" customHeight="1">
      <c r="A360" s="6">
        <v>41446.0</v>
      </c>
      <c r="B360" s="7">
        <v>6.0</v>
      </c>
      <c r="C360" s="1" t="s">
        <v>14</v>
      </c>
      <c r="D360" s="1" t="s">
        <v>9</v>
      </c>
      <c r="E360" s="1" t="s">
        <v>12</v>
      </c>
      <c r="F360" s="1" t="s">
        <v>11</v>
      </c>
      <c r="G360" s="4">
        <v>3.0</v>
      </c>
      <c r="H360" s="9">
        <v>160.71</v>
      </c>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row>
    <row r="361" ht="15.75" customHeight="1">
      <c r="A361" s="6">
        <v>41446.0</v>
      </c>
      <c r="B361" s="7">
        <v>6.0</v>
      </c>
      <c r="C361" s="1" t="s">
        <v>15</v>
      </c>
      <c r="D361" s="1" t="s">
        <v>20</v>
      </c>
      <c r="E361" s="1" t="s">
        <v>12</v>
      </c>
      <c r="F361" s="1" t="s">
        <v>19</v>
      </c>
      <c r="G361" s="4">
        <v>1.0</v>
      </c>
      <c r="H361" s="9">
        <v>105.91</v>
      </c>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row>
    <row r="362" ht="15.75" customHeight="1">
      <c r="A362" s="6">
        <v>41446.0</v>
      </c>
      <c r="B362" s="7">
        <v>6.0</v>
      </c>
      <c r="C362" s="1" t="s">
        <v>15</v>
      </c>
      <c r="D362" s="1" t="s">
        <v>9</v>
      </c>
      <c r="E362" s="1" t="s">
        <v>17</v>
      </c>
      <c r="F362" s="1" t="s">
        <v>19</v>
      </c>
      <c r="G362" s="4">
        <v>1.0</v>
      </c>
      <c r="H362" s="9">
        <v>101.46</v>
      </c>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row>
    <row r="363" ht="15.75" customHeight="1">
      <c r="A363" s="6">
        <v>41447.0</v>
      </c>
      <c r="B363" s="7">
        <v>7.0</v>
      </c>
      <c r="C363" s="1" t="s">
        <v>8</v>
      </c>
      <c r="D363" s="1" t="s">
        <v>9</v>
      </c>
      <c r="E363" s="1" t="s">
        <v>12</v>
      </c>
      <c r="F363" s="1" t="s">
        <v>11</v>
      </c>
      <c r="G363" s="4">
        <v>5.0</v>
      </c>
      <c r="H363" s="9">
        <v>271.67</v>
      </c>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row>
    <row r="364" ht="15.75" customHeight="1">
      <c r="A364" s="6">
        <v>41447.0</v>
      </c>
      <c r="B364" s="7">
        <v>7.0</v>
      </c>
      <c r="C364" s="1" t="s">
        <v>8</v>
      </c>
      <c r="D364" s="1" t="s">
        <v>18</v>
      </c>
      <c r="E364" s="1" t="s">
        <v>12</v>
      </c>
      <c r="F364" s="1" t="s">
        <v>19</v>
      </c>
      <c r="G364" s="4">
        <v>1.0</v>
      </c>
      <c r="H364" s="9">
        <v>112.74</v>
      </c>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row>
    <row r="365" ht="15.75" customHeight="1">
      <c r="A365" s="6">
        <v>41447.0</v>
      </c>
      <c r="B365" s="7">
        <v>7.0</v>
      </c>
      <c r="C365" s="1" t="s">
        <v>14</v>
      </c>
      <c r="D365" s="1" t="s">
        <v>18</v>
      </c>
      <c r="E365" s="1" t="s">
        <v>10</v>
      </c>
      <c r="F365" s="1" t="s">
        <v>19</v>
      </c>
      <c r="G365" s="4">
        <v>1.0</v>
      </c>
      <c r="H365" s="9">
        <v>96.42</v>
      </c>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row>
    <row r="366" ht="15.75" customHeight="1">
      <c r="A366" s="6">
        <v>41447.0</v>
      </c>
      <c r="B366" s="7">
        <v>7.0</v>
      </c>
      <c r="C366" s="1" t="s">
        <v>15</v>
      </c>
      <c r="D366" s="1" t="s">
        <v>18</v>
      </c>
      <c r="E366" s="8" t="s">
        <v>10</v>
      </c>
      <c r="F366" s="1" t="s">
        <v>11</v>
      </c>
      <c r="G366" s="4">
        <v>6.0</v>
      </c>
      <c r="H366" s="9">
        <v>271.48</v>
      </c>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row>
    <row r="367" ht="15.75" customHeight="1">
      <c r="A367" s="6">
        <v>41448.0</v>
      </c>
      <c r="B367" s="7">
        <v>1.0</v>
      </c>
      <c r="C367" s="1" t="s">
        <v>8</v>
      </c>
      <c r="D367" s="1" t="s">
        <v>18</v>
      </c>
      <c r="E367" s="1" t="s">
        <v>12</v>
      </c>
      <c r="F367" s="1" t="s">
        <v>19</v>
      </c>
      <c r="G367" s="4">
        <v>2.0</v>
      </c>
      <c r="H367" s="9">
        <v>156.79</v>
      </c>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row>
    <row r="368" ht="15.75" customHeight="1">
      <c r="A368" s="6">
        <v>41448.0</v>
      </c>
      <c r="B368" s="7">
        <v>1.0</v>
      </c>
      <c r="C368" s="1" t="s">
        <v>8</v>
      </c>
      <c r="D368" s="1" t="s">
        <v>20</v>
      </c>
      <c r="E368" s="1" t="s">
        <v>17</v>
      </c>
      <c r="F368" s="1" t="s">
        <v>11</v>
      </c>
      <c r="G368" s="4">
        <v>5.0</v>
      </c>
      <c r="H368" s="9">
        <v>249.63</v>
      </c>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row>
    <row r="369" ht="15.75" customHeight="1">
      <c r="A369" s="6">
        <v>41448.0</v>
      </c>
      <c r="B369" s="7">
        <v>1.0</v>
      </c>
      <c r="C369" s="1" t="s">
        <v>14</v>
      </c>
      <c r="D369" s="1" t="s">
        <v>9</v>
      </c>
      <c r="E369" s="1" t="s">
        <v>12</v>
      </c>
      <c r="F369" s="1" t="s">
        <v>19</v>
      </c>
      <c r="G369" s="4">
        <v>6.0</v>
      </c>
      <c r="H369" s="9">
        <v>278.62</v>
      </c>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row>
    <row r="370" ht="15.75" customHeight="1">
      <c r="A370" s="6">
        <v>41448.0</v>
      </c>
      <c r="B370" s="7">
        <v>1.0</v>
      </c>
      <c r="C370" s="1" t="s">
        <v>15</v>
      </c>
      <c r="D370" s="1" t="s">
        <v>18</v>
      </c>
      <c r="E370" s="1" t="s">
        <v>10</v>
      </c>
      <c r="F370" s="1" t="s">
        <v>19</v>
      </c>
      <c r="G370" s="4">
        <v>2.0</v>
      </c>
      <c r="H370" s="9">
        <v>84.46</v>
      </c>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row>
    <row r="371" ht="15.75" customHeight="1">
      <c r="A371" s="6">
        <v>41448.0</v>
      </c>
      <c r="B371" s="7">
        <v>1.0</v>
      </c>
      <c r="C371" s="1" t="s">
        <v>15</v>
      </c>
      <c r="D371" s="1" t="s">
        <v>18</v>
      </c>
      <c r="E371" s="8" t="s">
        <v>12</v>
      </c>
      <c r="F371" s="1" t="s">
        <v>19</v>
      </c>
      <c r="G371" s="4">
        <v>3.0</v>
      </c>
      <c r="H371" s="9">
        <v>221.17</v>
      </c>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row>
    <row r="372" ht="15.75" customHeight="1">
      <c r="A372" s="6">
        <v>41448.0</v>
      </c>
      <c r="B372" s="7">
        <v>1.0</v>
      </c>
      <c r="C372" s="1" t="s">
        <v>15</v>
      </c>
      <c r="D372" s="1" t="s">
        <v>9</v>
      </c>
      <c r="E372" s="1" t="s">
        <v>12</v>
      </c>
      <c r="F372" s="1" t="s">
        <v>19</v>
      </c>
      <c r="G372" s="4">
        <v>4.0</v>
      </c>
      <c r="H372" s="9">
        <v>194.79</v>
      </c>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row>
    <row r="373" ht="15.75" customHeight="1">
      <c r="A373" s="6">
        <v>41448.0</v>
      </c>
      <c r="B373" s="7">
        <v>1.0</v>
      </c>
      <c r="C373" s="1" t="s">
        <v>15</v>
      </c>
      <c r="D373" s="1" t="s">
        <v>20</v>
      </c>
      <c r="E373" s="1" t="s">
        <v>12</v>
      </c>
      <c r="F373" s="1" t="s">
        <v>19</v>
      </c>
      <c r="G373" s="4">
        <v>4.0</v>
      </c>
      <c r="H373" s="9">
        <v>199.22</v>
      </c>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row>
    <row r="374" ht="15.75" customHeight="1">
      <c r="A374" s="6">
        <v>41449.0</v>
      </c>
      <c r="B374" s="7">
        <v>2.0</v>
      </c>
      <c r="C374" s="1" t="s">
        <v>8</v>
      </c>
      <c r="D374" s="1" t="s">
        <v>18</v>
      </c>
      <c r="E374" s="1" t="s">
        <v>10</v>
      </c>
      <c r="F374" s="1" t="s">
        <v>11</v>
      </c>
      <c r="G374" s="4">
        <v>2.0</v>
      </c>
      <c r="H374" s="9">
        <v>141.7</v>
      </c>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row>
    <row r="375" ht="15.75" customHeight="1">
      <c r="A375" s="6">
        <v>41449.0</v>
      </c>
      <c r="B375" s="7">
        <v>2.0</v>
      </c>
      <c r="C375" s="1" t="s">
        <v>14</v>
      </c>
      <c r="D375" s="1" t="s">
        <v>21</v>
      </c>
      <c r="E375" s="8" t="s">
        <v>10</v>
      </c>
      <c r="F375" s="1" t="s">
        <v>11</v>
      </c>
      <c r="G375" s="4">
        <v>4.0</v>
      </c>
      <c r="H375" s="9">
        <v>191.15</v>
      </c>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row>
    <row r="376" ht="15.75" customHeight="1">
      <c r="A376" s="6">
        <v>41449.0</v>
      </c>
      <c r="B376" s="7">
        <v>2.0</v>
      </c>
      <c r="C376" s="1" t="s">
        <v>14</v>
      </c>
      <c r="D376" s="1" t="s">
        <v>18</v>
      </c>
      <c r="E376" s="1" t="s">
        <v>12</v>
      </c>
      <c r="F376" s="1" t="s">
        <v>11</v>
      </c>
      <c r="G376" s="4">
        <v>2.0</v>
      </c>
      <c r="H376" s="9">
        <v>142.41</v>
      </c>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row>
    <row r="377" ht="15.75" customHeight="1">
      <c r="A377" s="6">
        <v>41450.0</v>
      </c>
      <c r="B377" s="7">
        <v>3.0</v>
      </c>
      <c r="C377" s="1" t="s">
        <v>8</v>
      </c>
      <c r="D377" s="1" t="s">
        <v>18</v>
      </c>
      <c r="E377" s="1" t="s">
        <v>12</v>
      </c>
      <c r="F377" s="1" t="s">
        <v>11</v>
      </c>
      <c r="G377" s="4">
        <v>3.0</v>
      </c>
      <c r="H377" s="9">
        <v>134.53</v>
      </c>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row>
    <row r="378" ht="15.75" customHeight="1">
      <c r="A378" s="6">
        <v>41450.0</v>
      </c>
      <c r="B378" s="7">
        <v>3.0</v>
      </c>
      <c r="C378" s="1" t="s">
        <v>14</v>
      </c>
      <c r="D378" s="1" t="s">
        <v>9</v>
      </c>
      <c r="E378" s="1" t="s">
        <v>17</v>
      </c>
      <c r="F378" s="1" t="s">
        <v>11</v>
      </c>
      <c r="G378" s="4">
        <v>7.0</v>
      </c>
      <c r="H378" s="9">
        <v>374.37</v>
      </c>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row>
    <row r="379" ht="15.75" customHeight="1">
      <c r="A379" s="6">
        <v>41450.0</v>
      </c>
      <c r="B379" s="7">
        <v>3.0</v>
      </c>
      <c r="C379" s="1" t="s">
        <v>14</v>
      </c>
      <c r="D379" s="1" t="s">
        <v>20</v>
      </c>
      <c r="E379" s="1" t="s">
        <v>10</v>
      </c>
      <c r="F379" s="1" t="s">
        <v>11</v>
      </c>
      <c r="G379" s="4">
        <v>3.0</v>
      </c>
      <c r="H379" s="9">
        <v>241.73</v>
      </c>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row>
    <row r="380" ht="15.75" customHeight="1">
      <c r="A380" s="6">
        <v>41451.0</v>
      </c>
      <c r="B380" s="7">
        <v>4.0</v>
      </c>
      <c r="C380" s="1" t="s">
        <v>8</v>
      </c>
      <c r="D380" s="1" t="s">
        <v>21</v>
      </c>
      <c r="E380" s="8" t="s">
        <v>12</v>
      </c>
      <c r="F380" s="1" t="s">
        <v>11</v>
      </c>
      <c r="G380" s="4">
        <v>4.0</v>
      </c>
      <c r="H380" s="9">
        <v>278.58</v>
      </c>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row>
    <row r="381" ht="15.75" customHeight="1">
      <c r="A381" s="6">
        <v>41451.0</v>
      </c>
      <c r="B381" s="7">
        <v>4.0</v>
      </c>
      <c r="C381" s="1" t="s">
        <v>8</v>
      </c>
      <c r="D381" s="1" t="s">
        <v>20</v>
      </c>
      <c r="E381" s="1" t="s">
        <v>12</v>
      </c>
      <c r="F381" s="1" t="s">
        <v>11</v>
      </c>
      <c r="G381" s="4">
        <v>1.0</v>
      </c>
      <c r="H381" s="9">
        <v>106.25</v>
      </c>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row>
    <row r="382" ht="15.75" customHeight="1">
      <c r="A382" s="6">
        <v>41451.0</v>
      </c>
      <c r="B382" s="7">
        <v>4.0</v>
      </c>
      <c r="C382" s="1" t="s">
        <v>8</v>
      </c>
      <c r="D382" s="1" t="s">
        <v>20</v>
      </c>
      <c r="E382" s="1" t="s">
        <v>17</v>
      </c>
      <c r="F382" s="1" t="s">
        <v>11</v>
      </c>
      <c r="G382" s="4">
        <v>3.0</v>
      </c>
      <c r="H382" s="9">
        <v>115.71</v>
      </c>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row>
    <row r="383" ht="15.75" customHeight="1">
      <c r="A383" s="6">
        <v>41451.0</v>
      </c>
      <c r="B383" s="7">
        <v>4.0</v>
      </c>
      <c r="C383" s="1" t="s">
        <v>14</v>
      </c>
      <c r="D383" s="1" t="s">
        <v>18</v>
      </c>
      <c r="E383" s="1" t="s">
        <v>10</v>
      </c>
      <c r="F383" s="1" t="s">
        <v>11</v>
      </c>
      <c r="G383" s="4">
        <v>1.0</v>
      </c>
      <c r="H383" s="9">
        <v>78.34</v>
      </c>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row>
    <row r="384" ht="15.75" customHeight="1">
      <c r="A384" s="6">
        <v>41451.0</v>
      </c>
      <c r="B384" s="7">
        <v>4.0</v>
      </c>
      <c r="C384" s="1" t="s">
        <v>14</v>
      </c>
      <c r="D384" s="1" t="s">
        <v>9</v>
      </c>
      <c r="E384" s="1" t="s">
        <v>12</v>
      </c>
      <c r="F384" s="1" t="s">
        <v>11</v>
      </c>
      <c r="G384" s="4">
        <v>4.0</v>
      </c>
      <c r="H384" s="9">
        <v>216.03</v>
      </c>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row>
    <row r="385" ht="15.75" customHeight="1">
      <c r="A385" s="6">
        <v>41451.0</v>
      </c>
      <c r="B385" s="7">
        <v>4.0</v>
      </c>
      <c r="C385" s="1" t="s">
        <v>14</v>
      </c>
      <c r="D385" s="1" t="s">
        <v>9</v>
      </c>
      <c r="E385" s="1" t="s">
        <v>12</v>
      </c>
      <c r="F385" s="1" t="s">
        <v>11</v>
      </c>
      <c r="G385" s="4">
        <v>2.0</v>
      </c>
      <c r="H385" s="9">
        <v>140.01</v>
      </c>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row>
    <row r="386" ht="15.75" customHeight="1">
      <c r="A386" s="6">
        <v>41451.0</v>
      </c>
      <c r="B386" s="7">
        <v>4.0</v>
      </c>
      <c r="C386" s="1" t="s">
        <v>15</v>
      </c>
      <c r="D386" s="1" t="s">
        <v>18</v>
      </c>
      <c r="E386" s="8" t="s">
        <v>12</v>
      </c>
      <c r="F386" s="1" t="s">
        <v>19</v>
      </c>
      <c r="G386" s="4">
        <v>8.0</v>
      </c>
      <c r="H386" s="9">
        <v>458.51</v>
      </c>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row>
    <row r="387" ht="15.75" customHeight="1">
      <c r="A387" s="6">
        <v>41452.0</v>
      </c>
      <c r="B387" s="7">
        <v>5.0</v>
      </c>
      <c r="C387" s="1" t="s">
        <v>8</v>
      </c>
      <c r="D387" s="1" t="s">
        <v>9</v>
      </c>
      <c r="E387" s="1" t="s">
        <v>10</v>
      </c>
      <c r="F387" s="1" t="s">
        <v>11</v>
      </c>
      <c r="G387" s="4">
        <v>4.0</v>
      </c>
      <c r="H387" s="9">
        <v>210.6</v>
      </c>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row>
    <row r="388" ht="15.75" customHeight="1">
      <c r="A388" s="6">
        <v>41452.0</v>
      </c>
      <c r="B388" s="7">
        <v>5.0</v>
      </c>
      <c r="C388" s="1" t="s">
        <v>8</v>
      </c>
      <c r="D388" s="1" t="s">
        <v>20</v>
      </c>
      <c r="E388" s="1" t="s">
        <v>12</v>
      </c>
      <c r="F388" s="1" t="s">
        <v>11</v>
      </c>
      <c r="G388" s="4">
        <v>4.0</v>
      </c>
      <c r="H388" s="9">
        <v>189.49</v>
      </c>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row>
    <row r="389" ht="15.75" customHeight="1">
      <c r="A389" s="6">
        <v>41452.0</v>
      </c>
      <c r="B389" s="7">
        <v>5.0</v>
      </c>
      <c r="C389" s="1" t="s">
        <v>15</v>
      </c>
      <c r="D389" s="1" t="s">
        <v>9</v>
      </c>
      <c r="E389" s="1" t="s">
        <v>17</v>
      </c>
      <c r="F389" s="1" t="s">
        <v>19</v>
      </c>
      <c r="G389" s="4">
        <v>7.0</v>
      </c>
      <c r="H389" s="9">
        <v>359.42</v>
      </c>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row>
    <row r="390" ht="15.75" customHeight="1">
      <c r="A390" s="6">
        <v>41453.0</v>
      </c>
      <c r="B390" s="7">
        <v>6.0</v>
      </c>
      <c r="C390" s="1" t="s">
        <v>8</v>
      </c>
      <c r="D390" s="1" t="s">
        <v>9</v>
      </c>
      <c r="E390" s="1" t="s">
        <v>17</v>
      </c>
      <c r="F390" s="1" t="s">
        <v>11</v>
      </c>
      <c r="G390" s="4">
        <v>3.0</v>
      </c>
      <c r="H390" s="9">
        <v>132.06</v>
      </c>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row>
    <row r="391" ht="15.75" customHeight="1">
      <c r="A391" s="6">
        <v>41453.0</v>
      </c>
      <c r="B391" s="7">
        <v>6.0</v>
      </c>
      <c r="C391" s="1" t="s">
        <v>8</v>
      </c>
      <c r="D391" s="1" t="s">
        <v>9</v>
      </c>
      <c r="E391" s="1" t="s">
        <v>10</v>
      </c>
      <c r="F391" s="1" t="s">
        <v>11</v>
      </c>
      <c r="G391" s="4">
        <v>5.0</v>
      </c>
      <c r="H391" s="9">
        <v>252.33</v>
      </c>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row>
    <row r="392" ht="15.75" customHeight="1">
      <c r="A392" s="6">
        <v>41453.0</v>
      </c>
      <c r="B392" s="7">
        <v>6.0</v>
      </c>
      <c r="C392" s="1" t="s">
        <v>8</v>
      </c>
      <c r="D392" s="1" t="s">
        <v>21</v>
      </c>
      <c r="E392" s="8" t="s">
        <v>12</v>
      </c>
      <c r="F392" s="1" t="s">
        <v>19</v>
      </c>
      <c r="G392" s="4">
        <v>2.0</v>
      </c>
      <c r="H392" s="9">
        <v>172.05</v>
      </c>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row>
    <row r="393" ht="15.75" customHeight="1">
      <c r="A393" s="6">
        <v>41453.0</v>
      </c>
      <c r="B393" s="7">
        <v>6.0</v>
      </c>
      <c r="C393" s="1" t="s">
        <v>14</v>
      </c>
      <c r="D393" s="1" t="s">
        <v>9</v>
      </c>
      <c r="E393" s="1" t="s">
        <v>12</v>
      </c>
      <c r="F393" s="1" t="s">
        <v>11</v>
      </c>
      <c r="G393" s="4">
        <v>4.0</v>
      </c>
      <c r="H393" s="9">
        <v>206.19</v>
      </c>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row>
    <row r="394" ht="15.75" customHeight="1">
      <c r="A394" s="6">
        <v>41453.0</v>
      </c>
      <c r="B394" s="7">
        <v>6.0</v>
      </c>
      <c r="C394" s="1" t="s">
        <v>14</v>
      </c>
      <c r="D394" s="1" t="s">
        <v>21</v>
      </c>
      <c r="E394" s="1" t="s">
        <v>12</v>
      </c>
      <c r="F394" s="1" t="s">
        <v>11</v>
      </c>
      <c r="G394" s="4">
        <v>2.0</v>
      </c>
      <c r="H394" s="9">
        <v>143.98</v>
      </c>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row>
    <row r="395" ht="15.75" customHeight="1">
      <c r="A395" s="6">
        <v>41453.0</v>
      </c>
      <c r="B395" s="7">
        <v>6.0</v>
      </c>
      <c r="C395" s="1" t="s">
        <v>14</v>
      </c>
      <c r="D395" s="1" t="s">
        <v>18</v>
      </c>
      <c r="E395" s="1" t="s">
        <v>10</v>
      </c>
      <c r="F395" s="1" t="s">
        <v>11</v>
      </c>
      <c r="G395" s="4">
        <v>4.0</v>
      </c>
      <c r="H395" s="9">
        <v>276.67</v>
      </c>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row>
    <row r="396" ht="15.75" customHeight="1">
      <c r="A396" s="6">
        <v>41454.0</v>
      </c>
      <c r="B396" s="7">
        <v>7.0</v>
      </c>
      <c r="C396" s="1" t="s">
        <v>8</v>
      </c>
      <c r="D396" s="1" t="s">
        <v>21</v>
      </c>
      <c r="E396" s="1" t="s">
        <v>10</v>
      </c>
      <c r="F396" s="1" t="s">
        <v>19</v>
      </c>
      <c r="G396" s="4">
        <v>1.0</v>
      </c>
      <c r="H396" s="9">
        <v>111.67</v>
      </c>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row>
    <row r="397" ht="15.75" customHeight="1">
      <c r="A397" s="6">
        <v>41454.0</v>
      </c>
      <c r="B397" s="7">
        <v>7.0</v>
      </c>
      <c r="C397" s="1" t="s">
        <v>14</v>
      </c>
      <c r="D397" s="1" t="s">
        <v>18</v>
      </c>
      <c r="E397" s="1" t="s">
        <v>10</v>
      </c>
      <c r="F397" s="1" t="s">
        <v>19</v>
      </c>
      <c r="G397" s="4">
        <v>6.0</v>
      </c>
      <c r="H397" s="9">
        <v>268.39</v>
      </c>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row>
    <row r="398" ht="15.75" customHeight="1">
      <c r="A398" s="6">
        <v>41454.0</v>
      </c>
      <c r="B398" s="7">
        <v>7.0</v>
      </c>
      <c r="C398" s="1" t="s">
        <v>14</v>
      </c>
      <c r="D398" s="1" t="s">
        <v>18</v>
      </c>
      <c r="E398" s="1" t="s">
        <v>17</v>
      </c>
      <c r="F398" s="1" t="s">
        <v>11</v>
      </c>
      <c r="G398" s="4">
        <v>3.0</v>
      </c>
      <c r="H398" s="9">
        <v>169.11</v>
      </c>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row>
    <row r="399" ht="15.75" customHeight="1">
      <c r="A399" s="6">
        <v>41454.0</v>
      </c>
      <c r="B399" s="7">
        <v>7.0</v>
      </c>
      <c r="C399" s="1" t="s">
        <v>14</v>
      </c>
      <c r="D399" s="1" t="s">
        <v>9</v>
      </c>
      <c r="E399" s="1" t="s">
        <v>12</v>
      </c>
      <c r="F399" s="1" t="s">
        <v>19</v>
      </c>
      <c r="G399" s="4">
        <v>6.0</v>
      </c>
      <c r="H399" s="9">
        <v>242.46</v>
      </c>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row>
    <row r="400" ht="15.75" customHeight="1">
      <c r="A400" s="6">
        <v>41454.0</v>
      </c>
      <c r="B400" s="7">
        <v>7.0</v>
      </c>
      <c r="C400" s="1" t="s">
        <v>14</v>
      </c>
      <c r="D400" s="1" t="s">
        <v>18</v>
      </c>
      <c r="E400" s="1" t="s">
        <v>10</v>
      </c>
      <c r="F400" s="1" t="s">
        <v>19</v>
      </c>
      <c r="G400" s="4">
        <v>4.0</v>
      </c>
      <c r="H400" s="9">
        <v>168.64</v>
      </c>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row>
    <row r="401" ht="15.75" customHeight="1">
      <c r="A401" s="6">
        <v>41454.0</v>
      </c>
      <c r="B401" s="7">
        <v>7.0</v>
      </c>
      <c r="C401" s="1" t="s">
        <v>14</v>
      </c>
      <c r="D401" s="1" t="s">
        <v>18</v>
      </c>
      <c r="E401" s="1" t="s">
        <v>10</v>
      </c>
      <c r="F401" s="1" t="s">
        <v>11</v>
      </c>
      <c r="G401" s="4">
        <v>1.0</v>
      </c>
      <c r="H401" s="9">
        <v>107.59</v>
      </c>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row>
  </sheetData>
  <autoFilter ref="$A$1:$AM$1"/>
  <mergeCells count="4">
    <mergeCell ref="N90:R90"/>
    <mergeCell ref="N91:R91"/>
    <mergeCell ref="R100:R104"/>
    <mergeCell ref="R107:R111"/>
  </mergeCells>
  <dataValidations>
    <dataValidation type="list" allowBlank="1" showErrorMessage="1" sqref="S64 N77">
      <formula1>$AL$8:$AL$9</formula1>
    </dataValidation>
    <dataValidation type="list" allowBlank="1" showErrorMessage="1" sqref="P34:P35 P56:P57">
      <formula1>$AG$6:$AG$12</formula1>
    </dataValidation>
    <dataValidation type="list" allowBlank="1" showErrorMessage="1" sqref="O40 O62">
      <formula1>$AH$8:$AH$9</formula1>
    </dataValidation>
    <dataValidation type="list" allowBlank="1" showErrorMessage="1" sqref="O47 N75 O125 O127">
      <formula1>$AI$8:$AI$11</formula1>
    </dataValidation>
    <dataValidation type="list" allowBlank="1" showErrorMessage="1" sqref="O94">
      <formula1>$AH$8:$AH$10</formula1>
    </dataValidation>
    <dataValidation type="list" allowBlank="1" showErrorMessage="1" sqref="T94">
      <formula1>$AM$8:$AM$11</formula1>
    </dataValidation>
    <dataValidation type="list" allowBlank="1" showErrorMessage="1" sqref="Q47 Q75 Q125 Q127">
      <formula1>$AJ$8:$AJ$9</formula1>
    </dataValidation>
    <dataValidation type="list" allowBlank="1" showErrorMessage="1" sqref="U47 U75 U125 U127">
      <formula1>$AK$8:$AK$9</formula1>
    </dataValidation>
  </dataValidations>
  <printOptions/>
  <pageMargins bottom="0.75" footer="0.0" header="0.0" left="0.7" right="0.7" top="0.75"/>
  <pageSetup orientation="landscape"/>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c r="D1" s="1" t="s">
        <v>3</v>
      </c>
      <c r="E1" s="1" t="s">
        <v>4</v>
      </c>
      <c r="F1" s="1" t="s">
        <v>5</v>
      </c>
      <c r="G1" s="2" t="s">
        <v>6</v>
      </c>
      <c r="H1" s="3" t="s">
        <v>7</v>
      </c>
    </row>
    <row r="2" hidden="1">
      <c r="A2" s="6">
        <v>41343.0</v>
      </c>
      <c r="B2" s="7">
        <v>1.0</v>
      </c>
      <c r="C2" s="1" t="s">
        <v>8</v>
      </c>
      <c r="D2" s="1" t="s">
        <v>9</v>
      </c>
      <c r="E2" s="8" t="s">
        <v>10</v>
      </c>
      <c r="F2" s="1" t="s">
        <v>11</v>
      </c>
      <c r="G2" s="4">
        <v>4.0</v>
      </c>
      <c r="H2" s="9">
        <v>136.97</v>
      </c>
    </row>
    <row r="3" hidden="1">
      <c r="A3" s="6">
        <v>41343.0</v>
      </c>
      <c r="B3" s="7">
        <v>1.0</v>
      </c>
      <c r="C3" s="1" t="s">
        <v>8</v>
      </c>
      <c r="D3" s="1" t="s">
        <v>9</v>
      </c>
      <c r="E3" s="1" t="s">
        <v>12</v>
      </c>
      <c r="F3" s="1" t="s">
        <v>11</v>
      </c>
      <c r="G3" s="4">
        <v>1.0</v>
      </c>
      <c r="H3" s="9">
        <v>25.55</v>
      </c>
    </row>
    <row r="4" hidden="1">
      <c r="A4" s="6">
        <v>41343.0</v>
      </c>
      <c r="B4" s="7">
        <v>1.0</v>
      </c>
      <c r="C4" s="1" t="s">
        <v>14</v>
      </c>
      <c r="D4" s="1" t="s">
        <v>9</v>
      </c>
      <c r="E4" s="8" t="s">
        <v>10</v>
      </c>
      <c r="F4" s="1" t="s">
        <v>11</v>
      </c>
      <c r="G4" s="4">
        <v>5.0</v>
      </c>
      <c r="H4" s="9">
        <v>113.95</v>
      </c>
    </row>
    <row r="5">
      <c r="A5" s="6">
        <v>41343.0</v>
      </c>
      <c r="B5" s="7">
        <v>1.0</v>
      </c>
      <c r="C5" s="1" t="s">
        <v>14</v>
      </c>
      <c r="D5" s="1" t="s">
        <v>18</v>
      </c>
      <c r="E5" s="1" t="s">
        <v>10</v>
      </c>
      <c r="F5" s="1" t="s">
        <v>11</v>
      </c>
      <c r="G5" s="4">
        <v>1.0</v>
      </c>
      <c r="H5" s="9">
        <v>6.82</v>
      </c>
      <c r="L5" s="9"/>
    </row>
    <row r="6" hidden="1">
      <c r="A6" s="6">
        <v>41343.0</v>
      </c>
      <c r="B6" s="7">
        <v>1.0</v>
      </c>
      <c r="C6" s="1" t="s">
        <v>14</v>
      </c>
      <c r="D6" s="1" t="s">
        <v>9</v>
      </c>
      <c r="E6" s="8" t="s">
        <v>12</v>
      </c>
      <c r="F6" s="1" t="s">
        <v>19</v>
      </c>
      <c r="G6" s="4">
        <v>4.0</v>
      </c>
      <c r="H6" s="9">
        <v>147.32</v>
      </c>
    </row>
    <row r="7">
      <c r="A7" s="6">
        <v>41343.0</v>
      </c>
      <c r="B7" s="7">
        <v>1.0</v>
      </c>
      <c r="C7" s="1" t="s">
        <v>14</v>
      </c>
      <c r="D7" s="1" t="s">
        <v>18</v>
      </c>
      <c r="E7" s="1" t="s">
        <v>10</v>
      </c>
      <c r="F7" s="1" t="s">
        <v>11</v>
      </c>
      <c r="G7" s="4">
        <v>5.0</v>
      </c>
      <c r="H7" s="9">
        <v>142.15</v>
      </c>
      <c r="L7" s="9"/>
    </row>
    <row r="8" hidden="1">
      <c r="A8" s="6">
        <v>41344.0</v>
      </c>
      <c r="B8" s="7">
        <v>2.0</v>
      </c>
      <c r="C8" s="1" t="s">
        <v>15</v>
      </c>
      <c r="D8" s="1" t="s">
        <v>9</v>
      </c>
      <c r="E8" s="1" t="s">
        <v>12</v>
      </c>
      <c r="F8" s="1" t="s">
        <v>19</v>
      </c>
      <c r="G8" s="4">
        <v>1.0</v>
      </c>
      <c r="H8" s="9">
        <v>18.65</v>
      </c>
    </row>
    <row r="9" hidden="1">
      <c r="A9" s="6">
        <v>41344.0</v>
      </c>
      <c r="B9" s="7">
        <v>2.0</v>
      </c>
      <c r="C9" s="1" t="s">
        <v>15</v>
      </c>
      <c r="D9" s="1" t="s">
        <v>20</v>
      </c>
      <c r="E9" s="1" t="s">
        <v>10</v>
      </c>
      <c r="F9" s="1" t="s">
        <v>19</v>
      </c>
      <c r="G9" s="4">
        <v>4.0</v>
      </c>
      <c r="H9" s="9">
        <v>178.34</v>
      </c>
    </row>
    <row r="10" hidden="1">
      <c r="A10" s="6">
        <v>41344.0</v>
      </c>
      <c r="B10" s="7">
        <v>2.0</v>
      </c>
      <c r="C10" s="1" t="s">
        <v>15</v>
      </c>
      <c r="D10" s="1" t="s">
        <v>9</v>
      </c>
      <c r="E10" s="1" t="s">
        <v>17</v>
      </c>
      <c r="F10" s="1" t="s">
        <v>19</v>
      </c>
      <c r="G10" s="4">
        <v>2.0</v>
      </c>
      <c r="H10" s="9">
        <v>25.83</v>
      </c>
    </row>
    <row r="11" hidden="1">
      <c r="A11" s="6">
        <v>41345.0</v>
      </c>
      <c r="B11" s="7">
        <v>3.0</v>
      </c>
      <c r="C11" s="1" t="s">
        <v>8</v>
      </c>
      <c r="D11" s="1" t="s">
        <v>21</v>
      </c>
      <c r="E11" s="1" t="s">
        <v>12</v>
      </c>
      <c r="F11" s="1" t="s">
        <v>11</v>
      </c>
      <c r="G11" s="4">
        <v>1.0</v>
      </c>
      <c r="H11" s="9">
        <v>18.13</v>
      </c>
    </row>
    <row r="12">
      <c r="A12" s="6">
        <v>41345.0</v>
      </c>
      <c r="B12" s="7">
        <v>3.0</v>
      </c>
      <c r="C12" s="1" t="s">
        <v>8</v>
      </c>
      <c r="D12" s="1" t="s">
        <v>18</v>
      </c>
      <c r="E12" s="8" t="s">
        <v>12</v>
      </c>
      <c r="F12" s="1" t="s">
        <v>11</v>
      </c>
      <c r="G12" s="4">
        <v>2.0</v>
      </c>
      <c r="H12" s="9">
        <v>54.52</v>
      </c>
      <c r="L12" s="9"/>
    </row>
    <row r="13" hidden="1">
      <c r="A13" s="6">
        <v>41345.0</v>
      </c>
      <c r="B13" s="7">
        <v>3.0</v>
      </c>
      <c r="C13" s="1" t="s">
        <v>14</v>
      </c>
      <c r="D13" s="1" t="s">
        <v>20</v>
      </c>
      <c r="E13" s="1" t="s">
        <v>10</v>
      </c>
      <c r="F13" s="1" t="s">
        <v>19</v>
      </c>
      <c r="G13" s="4">
        <v>2.0</v>
      </c>
      <c r="H13" s="9">
        <v>61.93</v>
      </c>
    </row>
    <row r="14" hidden="1">
      <c r="A14" s="6">
        <v>41346.0</v>
      </c>
      <c r="B14" s="7">
        <v>4.0</v>
      </c>
      <c r="C14" s="1" t="s">
        <v>8</v>
      </c>
      <c r="D14" s="1" t="s">
        <v>18</v>
      </c>
      <c r="E14" s="8" t="s">
        <v>10</v>
      </c>
      <c r="F14" s="1" t="s">
        <v>19</v>
      </c>
      <c r="G14" s="4">
        <v>3.0</v>
      </c>
      <c r="H14" s="9">
        <v>147.68</v>
      </c>
      <c r="J14" s="9"/>
      <c r="K14" s="9"/>
      <c r="L14" s="9"/>
    </row>
    <row r="15" hidden="1">
      <c r="A15" s="6">
        <v>41346.0</v>
      </c>
      <c r="B15" s="7">
        <v>4.0</v>
      </c>
      <c r="C15" s="1" t="s">
        <v>14</v>
      </c>
      <c r="D15" s="1" t="s">
        <v>18</v>
      </c>
      <c r="E15" s="1" t="s">
        <v>12</v>
      </c>
      <c r="F15" s="1" t="s">
        <v>19</v>
      </c>
      <c r="G15" s="4">
        <v>1.0</v>
      </c>
      <c r="H15" s="9">
        <v>27.24</v>
      </c>
      <c r="J15" s="9"/>
      <c r="K15" s="9"/>
      <c r="L15" s="9"/>
    </row>
    <row r="16" hidden="1">
      <c r="A16" s="6">
        <v>41347.0</v>
      </c>
      <c r="B16" s="7">
        <v>5.0</v>
      </c>
      <c r="C16" s="1" t="s">
        <v>8</v>
      </c>
      <c r="D16" s="1" t="s">
        <v>9</v>
      </c>
      <c r="E16" s="1" t="s">
        <v>12</v>
      </c>
      <c r="F16" s="1" t="s">
        <v>11</v>
      </c>
      <c r="G16" s="4">
        <v>3.0</v>
      </c>
      <c r="H16" s="9">
        <v>46.18</v>
      </c>
    </row>
    <row r="17" hidden="1">
      <c r="A17" s="6">
        <v>41347.0</v>
      </c>
      <c r="B17" s="7">
        <v>5.0</v>
      </c>
      <c r="C17" s="1" t="s">
        <v>14</v>
      </c>
      <c r="D17" s="1" t="s">
        <v>9</v>
      </c>
      <c r="E17" s="1" t="s">
        <v>10</v>
      </c>
      <c r="F17" s="1" t="s">
        <v>19</v>
      </c>
      <c r="G17" s="4">
        <v>5.0</v>
      </c>
      <c r="H17" s="9">
        <v>107.44</v>
      </c>
    </row>
    <row r="18" hidden="1">
      <c r="A18" s="6">
        <v>41347.0</v>
      </c>
      <c r="B18" s="7">
        <v>5.0</v>
      </c>
      <c r="C18" s="1" t="s">
        <v>14</v>
      </c>
      <c r="D18" s="1" t="s">
        <v>20</v>
      </c>
      <c r="E18" s="8" t="s">
        <v>17</v>
      </c>
      <c r="F18" s="1" t="s">
        <v>11</v>
      </c>
      <c r="G18" s="4">
        <v>6.0</v>
      </c>
      <c r="H18" s="9">
        <v>96.53</v>
      </c>
    </row>
    <row r="19" hidden="1">
      <c r="A19" s="6">
        <v>41347.0</v>
      </c>
      <c r="B19" s="7">
        <v>5.0</v>
      </c>
      <c r="C19" s="1" t="s">
        <v>14</v>
      </c>
      <c r="D19" s="1" t="s">
        <v>9</v>
      </c>
      <c r="E19" s="8" t="s">
        <v>10</v>
      </c>
      <c r="F19" s="1" t="s">
        <v>11</v>
      </c>
      <c r="G19" s="4">
        <v>4.0</v>
      </c>
      <c r="H19" s="9">
        <v>77.44</v>
      </c>
    </row>
    <row r="20" hidden="1">
      <c r="A20" s="6">
        <v>41348.0</v>
      </c>
      <c r="B20" s="7">
        <v>6.0</v>
      </c>
      <c r="C20" s="1" t="s">
        <v>8</v>
      </c>
      <c r="D20" s="1" t="s">
        <v>20</v>
      </c>
      <c r="E20" s="1" t="s">
        <v>12</v>
      </c>
      <c r="F20" s="1" t="s">
        <v>19</v>
      </c>
      <c r="G20" s="4">
        <v>1.0</v>
      </c>
      <c r="H20" s="9">
        <v>15.19</v>
      </c>
    </row>
    <row r="21" hidden="1">
      <c r="A21" s="6">
        <v>41348.0</v>
      </c>
      <c r="B21" s="7">
        <v>6.0</v>
      </c>
      <c r="C21" s="1" t="s">
        <v>14</v>
      </c>
      <c r="D21" s="1" t="s">
        <v>20</v>
      </c>
      <c r="E21" s="1" t="s">
        <v>17</v>
      </c>
      <c r="F21" s="1" t="s">
        <v>19</v>
      </c>
      <c r="G21" s="4">
        <v>1.0</v>
      </c>
      <c r="H21" s="9">
        <v>45.52</v>
      </c>
    </row>
    <row r="22" hidden="1">
      <c r="A22" s="6">
        <v>41349.0</v>
      </c>
      <c r="B22" s="7">
        <v>7.0</v>
      </c>
      <c r="C22" s="1" t="s">
        <v>8</v>
      </c>
      <c r="D22" s="1" t="s">
        <v>9</v>
      </c>
      <c r="E22" s="1" t="s">
        <v>10</v>
      </c>
      <c r="F22" s="1" t="s">
        <v>19</v>
      </c>
      <c r="G22" s="4">
        <v>4.0</v>
      </c>
      <c r="H22" s="9">
        <v>157.05</v>
      </c>
    </row>
    <row r="23" hidden="1">
      <c r="A23" s="6">
        <v>41349.0</v>
      </c>
      <c r="B23" s="7">
        <v>7.0</v>
      </c>
      <c r="C23" s="1" t="s">
        <v>14</v>
      </c>
      <c r="D23" s="1" t="s">
        <v>9</v>
      </c>
      <c r="E23" s="1" t="s">
        <v>10</v>
      </c>
      <c r="F23" s="1" t="s">
        <v>19</v>
      </c>
      <c r="G23" s="4">
        <v>2.0</v>
      </c>
      <c r="H23" s="9">
        <v>51.95</v>
      </c>
    </row>
    <row r="24" hidden="1">
      <c r="A24" s="6">
        <v>41349.0</v>
      </c>
      <c r="B24" s="7">
        <v>7.0</v>
      </c>
      <c r="C24" s="1" t="s">
        <v>15</v>
      </c>
      <c r="D24" s="1" t="s">
        <v>9</v>
      </c>
      <c r="E24" s="8" t="s">
        <v>12</v>
      </c>
      <c r="F24" s="1" t="s">
        <v>11</v>
      </c>
      <c r="G24" s="4">
        <v>9.0</v>
      </c>
      <c r="H24" s="9">
        <v>429.98</v>
      </c>
    </row>
    <row r="25" hidden="1">
      <c r="A25" s="6">
        <v>41350.0</v>
      </c>
      <c r="B25" s="7">
        <v>1.0</v>
      </c>
      <c r="C25" s="1" t="s">
        <v>14</v>
      </c>
      <c r="D25" s="1" t="s">
        <v>20</v>
      </c>
      <c r="E25" s="1" t="s">
        <v>10</v>
      </c>
      <c r="F25" s="1" t="s">
        <v>11</v>
      </c>
      <c r="G25" s="4">
        <v>1.0</v>
      </c>
      <c r="H25" s="9">
        <v>33.37</v>
      </c>
    </row>
    <row r="26" hidden="1">
      <c r="A26" s="6">
        <v>41350.0</v>
      </c>
      <c r="B26" s="7">
        <v>1.0</v>
      </c>
      <c r="C26" s="1" t="s">
        <v>15</v>
      </c>
      <c r="D26" s="1" t="s">
        <v>9</v>
      </c>
      <c r="E26" s="1" t="s">
        <v>10</v>
      </c>
      <c r="F26" s="1" t="s">
        <v>19</v>
      </c>
      <c r="G26" s="4">
        <v>3.0</v>
      </c>
      <c r="H26" s="9">
        <v>71.84</v>
      </c>
    </row>
    <row r="27">
      <c r="A27" s="6">
        <v>41351.0</v>
      </c>
      <c r="B27" s="7">
        <v>2.0</v>
      </c>
      <c r="C27" s="1" t="s">
        <v>8</v>
      </c>
      <c r="D27" s="1" t="s">
        <v>18</v>
      </c>
      <c r="E27" s="8" t="s">
        <v>12</v>
      </c>
      <c r="F27" s="1" t="s">
        <v>11</v>
      </c>
      <c r="G27" s="4">
        <v>5.0</v>
      </c>
      <c r="H27" s="9">
        <v>139.51</v>
      </c>
      <c r="L27" s="9"/>
    </row>
    <row r="28" hidden="1">
      <c r="A28" s="6">
        <v>41351.0</v>
      </c>
      <c r="B28" s="7">
        <v>2.0</v>
      </c>
      <c r="C28" s="1" t="s">
        <v>14</v>
      </c>
      <c r="D28" s="1" t="s">
        <v>20</v>
      </c>
      <c r="E28" s="1" t="s">
        <v>12</v>
      </c>
      <c r="F28" s="1" t="s">
        <v>19</v>
      </c>
      <c r="G28" s="4">
        <v>3.0</v>
      </c>
      <c r="H28" s="9">
        <v>78.46</v>
      </c>
    </row>
    <row r="29" hidden="1">
      <c r="A29" s="6">
        <v>41351.0</v>
      </c>
      <c r="B29" s="7">
        <v>2.0</v>
      </c>
      <c r="C29" s="1" t="s">
        <v>15</v>
      </c>
      <c r="D29" s="1" t="s">
        <v>21</v>
      </c>
      <c r="E29" s="1" t="s">
        <v>12</v>
      </c>
      <c r="F29" s="1" t="s">
        <v>19</v>
      </c>
      <c r="G29" s="4">
        <v>3.0</v>
      </c>
      <c r="H29" s="9">
        <v>125.13</v>
      </c>
    </row>
    <row r="30" hidden="1">
      <c r="A30" s="6">
        <v>41352.0</v>
      </c>
      <c r="B30" s="7">
        <v>3.0</v>
      </c>
      <c r="C30" s="1" t="s">
        <v>14</v>
      </c>
      <c r="D30" s="1" t="s">
        <v>21</v>
      </c>
      <c r="E30" s="1" t="s">
        <v>10</v>
      </c>
      <c r="F30" s="1" t="s">
        <v>19</v>
      </c>
      <c r="G30" s="4">
        <v>1.0</v>
      </c>
      <c r="H30" s="9">
        <v>14.76</v>
      </c>
    </row>
    <row r="31" hidden="1">
      <c r="A31" s="6">
        <v>41352.0</v>
      </c>
      <c r="B31" s="7">
        <v>3.0</v>
      </c>
      <c r="C31" s="1" t="s">
        <v>14</v>
      </c>
      <c r="D31" s="1" t="s">
        <v>20</v>
      </c>
      <c r="E31" s="8" t="s">
        <v>17</v>
      </c>
      <c r="F31" s="1" t="s">
        <v>11</v>
      </c>
      <c r="G31" s="4">
        <v>2.0</v>
      </c>
      <c r="H31" s="9">
        <v>83.38</v>
      </c>
    </row>
    <row r="32" hidden="1">
      <c r="A32" s="6">
        <v>41353.0</v>
      </c>
      <c r="B32" s="7">
        <v>4.0</v>
      </c>
      <c r="C32" s="1" t="s">
        <v>8</v>
      </c>
      <c r="D32" s="1" t="s">
        <v>9</v>
      </c>
      <c r="E32" s="1" t="s">
        <v>12</v>
      </c>
      <c r="F32" s="1" t="s">
        <v>11</v>
      </c>
      <c r="G32" s="4">
        <v>3.0</v>
      </c>
      <c r="H32" s="9">
        <v>104.91</v>
      </c>
    </row>
    <row r="33" hidden="1">
      <c r="A33" s="6">
        <v>41353.0</v>
      </c>
      <c r="B33" s="7">
        <v>4.0</v>
      </c>
      <c r="C33" s="1" t="s">
        <v>14</v>
      </c>
      <c r="D33" s="1" t="s">
        <v>18</v>
      </c>
      <c r="E33" s="1" t="s">
        <v>10</v>
      </c>
      <c r="F33" s="1" t="s">
        <v>19</v>
      </c>
      <c r="G33" s="4">
        <v>4.0</v>
      </c>
      <c r="H33" s="9">
        <v>101.37</v>
      </c>
      <c r="J33" s="9"/>
      <c r="K33" s="9"/>
      <c r="L33" s="9"/>
    </row>
    <row r="34">
      <c r="A34" s="6">
        <v>41353.0</v>
      </c>
      <c r="B34" s="7">
        <v>4.0</v>
      </c>
      <c r="C34" s="1" t="s">
        <v>14</v>
      </c>
      <c r="D34" s="1" t="s">
        <v>18</v>
      </c>
      <c r="E34" s="1" t="s">
        <v>10</v>
      </c>
      <c r="F34" s="1" t="s">
        <v>11</v>
      </c>
      <c r="G34" s="4">
        <v>2.0</v>
      </c>
      <c r="H34" s="9">
        <v>53.16</v>
      </c>
      <c r="L34" s="9"/>
    </row>
    <row r="35" hidden="1">
      <c r="A35" s="6">
        <v>41353.0</v>
      </c>
      <c r="B35" s="7">
        <v>4.0</v>
      </c>
      <c r="C35" s="1" t="s">
        <v>15</v>
      </c>
      <c r="D35" s="1" t="s">
        <v>9</v>
      </c>
      <c r="E35" s="1" t="s">
        <v>10</v>
      </c>
      <c r="F35" s="1" t="s">
        <v>11</v>
      </c>
      <c r="G35" s="4">
        <v>2.0</v>
      </c>
      <c r="H35" s="9">
        <v>40.63</v>
      </c>
    </row>
    <row r="36" hidden="1">
      <c r="A36" s="6">
        <v>41354.0</v>
      </c>
      <c r="B36" s="7">
        <v>5.0</v>
      </c>
      <c r="C36" s="1" t="s">
        <v>8</v>
      </c>
      <c r="D36" s="1" t="s">
        <v>9</v>
      </c>
      <c r="E36" s="1" t="s">
        <v>10</v>
      </c>
      <c r="F36" s="1" t="s">
        <v>11</v>
      </c>
      <c r="G36" s="4">
        <v>7.0</v>
      </c>
      <c r="H36" s="9">
        <v>286.41</v>
      </c>
    </row>
    <row r="37" hidden="1">
      <c r="A37" s="6">
        <v>41354.0</v>
      </c>
      <c r="B37" s="7">
        <v>5.0</v>
      </c>
      <c r="C37" s="1" t="s">
        <v>14</v>
      </c>
      <c r="D37" s="1" t="s">
        <v>20</v>
      </c>
      <c r="E37" s="1" t="s">
        <v>12</v>
      </c>
      <c r="F37" s="1" t="s">
        <v>11</v>
      </c>
      <c r="G37" s="4">
        <v>2.0</v>
      </c>
      <c r="H37" s="9">
        <v>59.39</v>
      </c>
    </row>
    <row r="38" hidden="1">
      <c r="A38" s="6">
        <v>41354.0</v>
      </c>
      <c r="B38" s="7">
        <v>5.0</v>
      </c>
      <c r="C38" s="1" t="s">
        <v>15</v>
      </c>
      <c r="D38" s="1" t="s">
        <v>18</v>
      </c>
      <c r="E38" s="1" t="s">
        <v>10</v>
      </c>
      <c r="F38" s="1" t="s">
        <v>19</v>
      </c>
      <c r="G38" s="4">
        <v>4.0</v>
      </c>
      <c r="H38" s="9">
        <v>185.45</v>
      </c>
      <c r="J38" s="9"/>
      <c r="K38" s="9"/>
      <c r="L38" s="9"/>
    </row>
    <row r="39">
      <c r="A39" s="6">
        <v>41355.0</v>
      </c>
      <c r="B39" s="7">
        <v>6.0</v>
      </c>
      <c r="C39" s="1" t="s">
        <v>8</v>
      </c>
      <c r="D39" s="1" t="s">
        <v>18</v>
      </c>
      <c r="E39" s="1" t="s">
        <v>12</v>
      </c>
      <c r="F39" s="1" t="s">
        <v>11</v>
      </c>
      <c r="G39" s="4">
        <v>2.0</v>
      </c>
      <c r="H39" s="9">
        <v>35.08</v>
      </c>
      <c r="L39" s="9"/>
    </row>
    <row r="40" hidden="1">
      <c r="A40" s="6">
        <v>41355.0</v>
      </c>
      <c r="B40" s="7">
        <v>6.0</v>
      </c>
      <c r="C40" s="1" t="s">
        <v>8</v>
      </c>
      <c r="D40" s="1" t="s">
        <v>21</v>
      </c>
      <c r="E40" s="8" t="s">
        <v>12</v>
      </c>
      <c r="F40" s="1" t="s">
        <v>19</v>
      </c>
      <c r="G40" s="4">
        <v>2.0</v>
      </c>
      <c r="H40" s="9">
        <v>91.62</v>
      </c>
    </row>
    <row r="41">
      <c r="A41" s="6">
        <v>41355.0</v>
      </c>
      <c r="B41" s="7">
        <v>6.0</v>
      </c>
      <c r="C41" s="1" t="s">
        <v>8</v>
      </c>
      <c r="D41" s="1" t="s">
        <v>18</v>
      </c>
      <c r="E41" s="1" t="s">
        <v>17</v>
      </c>
      <c r="F41" s="1" t="s">
        <v>11</v>
      </c>
      <c r="G41" s="4">
        <v>8.0</v>
      </c>
      <c r="H41" s="9">
        <v>155.5</v>
      </c>
      <c r="L41" s="9"/>
    </row>
    <row r="42" hidden="1">
      <c r="A42" s="6">
        <v>41355.0</v>
      </c>
      <c r="B42" s="7">
        <v>6.0</v>
      </c>
      <c r="C42" s="1" t="s">
        <v>15</v>
      </c>
      <c r="D42" s="1" t="s">
        <v>9</v>
      </c>
      <c r="E42" s="1" t="s">
        <v>10</v>
      </c>
      <c r="F42" s="1" t="s">
        <v>19</v>
      </c>
      <c r="G42" s="4">
        <v>4.0</v>
      </c>
      <c r="H42" s="9">
        <v>20.89</v>
      </c>
    </row>
    <row r="43" hidden="1">
      <c r="A43" s="6">
        <v>41355.0</v>
      </c>
      <c r="B43" s="7">
        <v>6.0</v>
      </c>
      <c r="C43" s="1" t="s">
        <v>15</v>
      </c>
      <c r="D43" s="1" t="s">
        <v>9</v>
      </c>
      <c r="E43" s="1" t="s">
        <v>12</v>
      </c>
      <c r="F43" s="1" t="s">
        <v>19</v>
      </c>
      <c r="G43" s="4">
        <v>6.0</v>
      </c>
      <c r="H43" s="9">
        <v>186.29</v>
      </c>
    </row>
    <row r="44" hidden="1">
      <c r="A44" s="6">
        <v>41355.0</v>
      </c>
      <c r="B44" s="7">
        <v>6.0</v>
      </c>
      <c r="C44" s="1" t="s">
        <v>15</v>
      </c>
      <c r="D44" s="1" t="s">
        <v>9</v>
      </c>
      <c r="E44" s="1" t="s">
        <v>17</v>
      </c>
      <c r="F44" s="1" t="s">
        <v>11</v>
      </c>
      <c r="G44" s="4">
        <v>1.0</v>
      </c>
      <c r="H44" s="9">
        <v>42.22</v>
      </c>
    </row>
    <row r="45" hidden="1">
      <c r="A45" s="6">
        <v>41355.0</v>
      </c>
      <c r="B45" s="7">
        <v>6.0</v>
      </c>
      <c r="C45" s="1" t="s">
        <v>15</v>
      </c>
      <c r="D45" s="1" t="s">
        <v>9</v>
      </c>
      <c r="E45" s="1" t="s">
        <v>10</v>
      </c>
      <c r="F45" s="1" t="s">
        <v>19</v>
      </c>
      <c r="G45" s="4">
        <v>2.0</v>
      </c>
      <c r="H45" s="9">
        <v>42.19</v>
      </c>
    </row>
    <row r="46" hidden="1">
      <c r="A46" s="6">
        <v>41356.0</v>
      </c>
      <c r="B46" s="7">
        <v>7.0</v>
      </c>
      <c r="C46" s="1" t="s">
        <v>14</v>
      </c>
      <c r="D46" s="1" t="s">
        <v>21</v>
      </c>
      <c r="E46" s="1" t="s">
        <v>10</v>
      </c>
      <c r="F46" s="1" t="s">
        <v>11</v>
      </c>
      <c r="G46" s="4">
        <v>1.0</v>
      </c>
      <c r="H46" s="9">
        <v>47.86</v>
      </c>
    </row>
    <row r="47" hidden="1">
      <c r="A47" s="6">
        <v>41357.0</v>
      </c>
      <c r="B47" s="7">
        <v>1.0</v>
      </c>
      <c r="C47" s="1" t="s">
        <v>8</v>
      </c>
      <c r="D47" s="1" t="s">
        <v>20</v>
      </c>
      <c r="E47" s="1" t="s">
        <v>12</v>
      </c>
      <c r="F47" s="1" t="s">
        <v>11</v>
      </c>
      <c r="G47" s="4">
        <v>3.0</v>
      </c>
      <c r="H47" s="9">
        <v>139.76</v>
      </c>
    </row>
    <row r="48">
      <c r="A48" s="6">
        <v>41357.0</v>
      </c>
      <c r="B48" s="7">
        <v>1.0</v>
      </c>
      <c r="C48" s="1" t="s">
        <v>8</v>
      </c>
      <c r="D48" s="1" t="s">
        <v>18</v>
      </c>
      <c r="E48" s="1" t="s">
        <v>12</v>
      </c>
      <c r="F48" s="1" t="s">
        <v>11</v>
      </c>
      <c r="G48" s="4">
        <v>6.0</v>
      </c>
      <c r="H48" s="9">
        <v>186.42</v>
      </c>
      <c r="L48" s="9"/>
    </row>
    <row r="49" hidden="1">
      <c r="A49" s="6">
        <v>41357.0</v>
      </c>
      <c r="B49" s="7">
        <v>1.0</v>
      </c>
      <c r="C49" s="1" t="s">
        <v>14</v>
      </c>
      <c r="D49" s="1" t="s">
        <v>20</v>
      </c>
      <c r="E49" s="1" t="s">
        <v>12</v>
      </c>
      <c r="F49" s="1" t="s">
        <v>11</v>
      </c>
      <c r="G49" s="4">
        <v>1.0</v>
      </c>
      <c r="H49" s="9">
        <v>54.08</v>
      </c>
    </row>
    <row r="50" hidden="1">
      <c r="A50" s="6">
        <v>41357.0</v>
      </c>
      <c r="B50" s="7">
        <v>1.0</v>
      </c>
      <c r="C50" s="1" t="s">
        <v>14</v>
      </c>
      <c r="D50" s="1" t="s">
        <v>9</v>
      </c>
      <c r="E50" s="1" t="s">
        <v>12</v>
      </c>
      <c r="F50" s="1" t="s">
        <v>11</v>
      </c>
      <c r="G50" s="4">
        <v>3.0</v>
      </c>
      <c r="H50" s="9">
        <v>84.98</v>
      </c>
    </row>
    <row r="51" hidden="1">
      <c r="A51" s="6">
        <v>41357.0</v>
      </c>
      <c r="B51" s="7">
        <v>1.0</v>
      </c>
      <c r="C51" s="1" t="s">
        <v>14</v>
      </c>
      <c r="D51" s="1" t="s">
        <v>20</v>
      </c>
      <c r="E51" s="1" t="s">
        <v>17</v>
      </c>
      <c r="F51" s="1" t="s">
        <v>11</v>
      </c>
      <c r="G51" s="4">
        <v>2.0</v>
      </c>
      <c r="H51" s="9">
        <v>27.13</v>
      </c>
    </row>
    <row r="52" hidden="1">
      <c r="A52" s="6">
        <v>41358.0</v>
      </c>
      <c r="B52" s="7">
        <v>2.0</v>
      </c>
      <c r="C52" s="1" t="s">
        <v>8</v>
      </c>
      <c r="D52" s="1" t="s">
        <v>9</v>
      </c>
      <c r="E52" s="1" t="s">
        <v>12</v>
      </c>
      <c r="F52" s="1" t="s">
        <v>11</v>
      </c>
      <c r="G52" s="4">
        <v>2.0</v>
      </c>
      <c r="H52" s="9">
        <v>54.7</v>
      </c>
    </row>
    <row r="53" hidden="1">
      <c r="A53" s="6">
        <v>41358.0</v>
      </c>
      <c r="B53" s="7">
        <v>2.0</v>
      </c>
      <c r="C53" s="1" t="s">
        <v>14</v>
      </c>
      <c r="D53" s="1" t="s">
        <v>20</v>
      </c>
      <c r="E53" s="1" t="s">
        <v>12</v>
      </c>
      <c r="F53" s="1" t="s">
        <v>11</v>
      </c>
      <c r="G53" s="4">
        <v>5.0</v>
      </c>
      <c r="H53" s="9">
        <v>229.54</v>
      </c>
    </row>
    <row r="54" hidden="1">
      <c r="A54" s="6">
        <v>41358.0</v>
      </c>
      <c r="B54" s="7">
        <v>2.0</v>
      </c>
      <c r="C54" s="1" t="s">
        <v>15</v>
      </c>
      <c r="D54" s="1" t="s">
        <v>9</v>
      </c>
      <c r="E54" s="1" t="s">
        <v>17</v>
      </c>
      <c r="F54" s="1" t="s">
        <v>19</v>
      </c>
      <c r="G54" s="4">
        <v>4.0</v>
      </c>
      <c r="H54" s="9">
        <v>124.21</v>
      </c>
    </row>
    <row r="55" hidden="1">
      <c r="A55" s="6">
        <v>41359.0</v>
      </c>
      <c r="B55" s="7">
        <v>3.0</v>
      </c>
      <c r="C55" s="1" t="s">
        <v>8</v>
      </c>
      <c r="D55" s="1" t="s">
        <v>9</v>
      </c>
      <c r="E55" s="1" t="s">
        <v>10</v>
      </c>
      <c r="F55" s="1" t="s">
        <v>11</v>
      </c>
      <c r="G55" s="4">
        <v>2.0</v>
      </c>
      <c r="H55" s="9">
        <v>26.39</v>
      </c>
    </row>
    <row r="56" hidden="1">
      <c r="A56" s="6">
        <v>41360.0</v>
      </c>
      <c r="B56" s="7">
        <v>4.0</v>
      </c>
      <c r="C56" s="1" t="s">
        <v>8</v>
      </c>
      <c r="D56" s="1" t="s">
        <v>9</v>
      </c>
      <c r="E56" s="1" t="s">
        <v>12</v>
      </c>
      <c r="F56" s="1" t="s">
        <v>11</v>
      </c>
      <c r="G56" s="4">
        <v>4.0</v>
      </c>
      <c r="H56" s="9">
        <v>106.97</v>
      </c>
    </row>
    <row r="57" hidden="1">
      <c r="A57" s="6">
        <v>41360.0</v>
      </c>
      <c r="B57" s="7">
        <v>4.0</v>
      </c>
      <c r="C57" s="1" t="s">
        <v>14</v>
      </c>
      <c r="D57" s="1" t="s">
        <v>9</v>
      </c>
      <c r="E57" s="8" t="s">
        <v>17</v>
      </c>
      <c r="F57" s="1" t="s">
        <v>11</v>
      </c>
      <c r="G57" s="4">
        <v>8.0</v>
      </c>
      <c r="H57" s="9">
        <v>377.18</v>
      </c>
    </row>
    <row r="58">
      <c r="A58" s="6">
        <v>41361.0</v>
      </c>
      <c r="B58" s="7">
        <v>5.0</v>
      </c>
      <c r="C58" s="1" t="s">
        <v>8</v>
      </c>
      <c r="D58" s="1" t="s">
        <v>18</v>
      </c>
      <c r="E58" s="1" t="s">
        <v>12</v>
      </c>
      <c r="F58" s="1" t="s">
        <v>11</v>
      </c>
      <c r="G58" s="4">
        <v>1.0</v>
      </c>
      <c r="H58" s="9">
        <v>24.31</v>
      </c>
      <c r="L58" s="9"/>
    </row>
    <row r="59" hidden="1">
      <c r="A59" s="6">
        <v>41361.0</v>
      </c>
      <c r="B59" s="7">
        <v>5.0</v>
      </c>
      <c r="C59" s="1" t="s">
        <v>14</v>
      </c>
      <c r="D59" s="1" t="s">
        <v>20</v>
      </c>
      <c r="E59" s="1" t="s">
        <v>12</v>
      </c>
      <c r="F59" s="1" t="s">
        <v>11</v>
      </c>
      <c r="G59" s="4">
        <v>1.0</v>
      </c>
      <c r="H59" s="9">
        <v>34.47</v>
      </c>
    </row>
    <row r="60" hidden="1">
      <c r="A60" s="6">
        <v>41361.0</v>
      </c>
      <c r="B60" s="7">
        <v>5.0</v>
      </c>
      <c r="C60" s="1" t="s">
        <v>14</v>
      </c>
      <c r="D60" s="1" t="s">
        <v>9</v>
      </c>
      <c r="E60" s="8" t="s">
        <v>12</v>
      </c>
      <c r="F60" s="1" t="s">
        <v>19</v>
      </c>
      <c r="G60" s="4">
        <v>3.0</v>
      </c>
      <c r="H60" s="9">
        <v>106.19</v>
      </c>
    </row>
    <row r="61" hidden="1">
      <c r="A61" s="6">
        <v>41361.0</v>
      </c>
      <c r="B61" s="7">
        <v>5.0</v>
      </c>
      <c r="C61" s="1" t="s">
        <v>15</v>
      </c>
      <c r="D61" s="1" t="s">
        <v>18</v>
      </c>
      <c r="E61" s="1" t="s">
        <v>10</v>
      </c>
      <c r="F61" s="1" t="s">
        <v>19</v>
      </c>
      <c r="G61" s="4">
        <v>2.0</v>
      </c>
      <c r="H61" s="9">
        <v>55.3</v>
      </c>
      <c r="J61" s="9"/>
      <c r="K61" s="9"/>
      <c r="L61" s="9"/>
    </row>
    <row r="62">
      <c r="A62" s="6">
        <v>41362.0</v>
      </c>
      <c r="B62" s="7">
        <v>6.0</v>
      </c>
      <c r="C62" s="1" t="s">
        <v>8</v>
      </c>
      <c r="D62" s="1" t="s">
        <v>18</v>
      </c>
      <c r="E62" s="1" t="s">
        <v>10</v>
      </c>
      <c r="F62" s="1" t="s">
        <v>11</v>
      </c>
      <c r="G62" s="4">
        <v>2.0</v>
      </c>
      <c r="H62" s="9">
        <v>82.98</v>
      </c>
      <c r="L62" s="9"/>
    </row>
    <row r="63" hidden="1">
      <c r="A63" s="6">
        <v>41362.0</v>
      </c>
      <c r="B63" s="7">
        <v>6.0</v>
      </c>
      <c r="C63" s="1" t="s">
        <v>8</v>
      </c>
      <c r="D63" s="1" t="s">
        <v>18</v>
      </c>
      <c r="E63" s="1" t="s">
        <v>17</v>
      </c>
      <c r="F63" s="1" t="s">
        <v>19</v>
      </c>
      <c r="G63" s="4">
        <v>4.0</v>
      </c>
      <c r="H63" s="9">
        <v>101.79</v>
      </c>
      <c r="J63" s="9"/>
      <c r="K63" s="9"/>
      <c r="L63" s="9"/>
    </row>
    <row r="64" hidden="1">
      <c r="A64" s="6">
        <v>41362.0</v>
      </c>
      <c r="B64" s="7">
        <v>6.0</v>
      </c>
      <c r="C64" s="1" t="s">
        <v>8</v>
      </c>
      <c r="D64" s="1" t="s">
        <v>21</v>
      </c>
      <c r="E64" s="1" t="s">
        <v>12</v>
      </c>
      <c r="F64" s="1" t="s">
        <v>19</v>
      </c>
      <c r="G64" s="4">
        <v>3.0</v>
      </c>
      <c r="H64" s="9">
        <v>99.28</v>
      </c>
    </row>
    <row r="65">
      <c r="A65" s="6">
        <v>41362.0</v>
      </c>
      <c r="B65" s="7">
        <v>6.0</v>
      </c>
      <c r="C65" s="1" t="s">
        <v>8</v>
      </c>
      <c r="D65" s="1" t="s">
        <v>18</v>
      </c>
      <c r="E65" s="1" t="s">
        <v>12</v>
      </c>
      <c r="F65" s="1" t="s">
        <v>11</v>
      </c>
      <c r="G65" s="4">
        <v>3.0</v>
      </c>
      <c r="H65" s="9">
        <v>100.09</v>
      </c>
      <c r="L65" s="9"/>
    </row>
    <row r="66">
      <c r="A66" s="6">
        <v>41362.0</v>
      </c>
      <c r="B66" s="7">
        <v>6.0</v>
      </c>
      <c r="C66" s="1" t="s">
        <v>14</v>
      </c>
      <c r="D66" s="1" t="s">
        <v>18</v>
      </c>
      <c r="E66" s="1" t="s">
        <v>17</v>
      </c>
      <c r="F66" s="1" t="s">
        <v>11</v>
      </c>
      <c r="G66" s="4">
        <v>3.0</v>
      </c>
      <c r="H66" s="9">
        <v>88.91</v>
      </c>
      <c r="L66" s="9"/>
    </row>
    <row r="67" hidden="1">
      <c r="A67" s="6">
        <v>41362.0</v>
      </c>
      <c r="B67" s="7">
        <v>6.0</v>
      </c>
      <c r="C67" s="1" t="s">
        <v>14</v>
      </c>
      <c r="D67" s="1" t="s">
        <v>21</v>
      </c>
      <c r="E67" s="1" t="s">
        <v>17</v>
      </c>
      <c r="F67" s="1" t="s">
        <v>19</v>
      </c>
      <c r="G67" s="4">
        <v>2.0</v>
      </c>
      <c r="H67" s="9">
        <v>62.58</v>
      </c>
    </row>
    <row r="68" hidden="1">
      <c r="A68" s="6">
        <v>41362.0</v>
      </c>
      <c r="B68" s="7">
        <v>6.0</v>
      </c>
      <c r="C68" s="1" t="s">
        <v>14</v>
      </c>
      <c r="D68" s="1" t="s">
        <v>20</v>
      </c>
      <c r="E68" s="1" t="s">
        <v>10</v>
      </c>
      <c r="F68" s="1" t="s">
        <v>11</v>
      </c>
      <c r="G68" s="4">
        <v>1.0</v>
      </c>
      <c r="H68" s="9">
        <v>28.87</v>
      </c>
    </row>
    <row r="69" hidden="1">
      <c r="A69" s="6">
        <v>41362.0</v>
      </c>
      <c r="B69" s="7">
        <v>6.0</v>
      </c>
      <c r="C69" s="1" t="s">
        <v>14</v>
      </c>
      <c r="D69" s="1" t="s">
        <v>21</v>
      </c>
      <c r="E69" s="8" t="s">
        <v>10</v>
      </c>
      <c r="F69" s="1" t="s">
        <v>19</v>
      </c>
      <c r="G69" s="4">
        <v>4.0</v>
      </c>
      <c r="H69" s="9">
        <v>141.29</v>
      </c>
    </row>
    <row r="70" hidden="1">
      <c r="A70" s="6">
        <v>41362.0</v>
      </c>
      <c r="B70" s="7">
        <v>6.0</v>
      </c>
      <c r="C70" s="1" t="s">
        <v>15</v>
      </c>
      <c r="D70" s="1" t="s">
        <v>18</v>
      </c>
      <c r="E70" s="1" t="s">
        <v>17</v>
      </c>
      <c r="F70" s="1" t="s">
        <v>19</v>
      </c>
      <c r="G70" s="4">
        <v>4.0</v>
      </c>
      <c r="H70" s="9">
        <v>66.54</v>
      </c>
      <c r="J70" s="9"/>
      <c r="K70" s="9"/>
      <c r="L70" s="9"/>
    </row>
    <row r="71" hidden="1">
      <c r="A71" s="6">
        <v>41362.0</v>
      </c>
      <c r="B71" s="7">
        <v>6.0</v>
      </c>
      <c r="C71" s="1" t="s">
        <v>15</v>
      </c>
      <c r="D71" s="1" t="s">
        <v>20</v>
      </c>
      <c r="E71" s="1" t="s">
        <v>10</v>
      </c>
      <c r="F71" s="1" t="s">
        <v>11</v>
      </c>
      <c r="G71" s="4">
        <v>2.0</v>
      </c>
      <c r="H71" s="9">
        <v>69.03</v>
      </c>
    </row>
    <row r="72" hidden="1">
      <c r="A72" s="6">
        <v>41363.0</v>
      </c>
      <c r="B72" s="7">
        <v>7.0</v>
      </c>
      <c r="C72" s="1" t="s">
        <v>14</v>
      </c>
      <c r="D72" s="1" t="s">
        <v>20</v>
      </c>
      <c r="E72" s="8" t="s">
        <v>12</v>
      </c>
      <c r="F72" s="1" t="s">
        <v>11</v>
      </c>
      <c r="G72" s="4">
        <v>2.0</v>
      </c>
      <c r="H72" s="9">
        <v>65.51</v>
      </c>
    </row>
    <row r="73" hidden="1">
      <c r="A73" s="6">
        <v>41363.0</v>
      </c>
      <c r="B73" s="7">
        <v>7.0</v>
      </c>
      <c r="C73" s="1" t="s">
        <v>15</v>
      </c>
      <c r="D73" s="1" t="s">
        <v>9</v>
      </c>
      <c r="E73" s="1" t="s">
        <v>10</v>
      </c>
      <c r="F73" s="1" t="s">
        <v>11</v>
      </c>
      <c r="G73" s="4">
        <v>2.0</v>
      </c>
      <c r="H73" s="9">
        <v>35.59</v>
      </c>
    </row>
    <row r="74" hidden="1">
      <c r="A74" s="6">
        <v>41364.0</v>
      </c>
      <c r="B74" s="7">
        <v>1.0</v>
      </c>
      <c r="C74" s="1" t="s">
        <v>14</v>
      </c>
      <c r="D74" s="1" t="s">
        <v>20</v>
      </c>
      <c r="E74" s="1" t="s">
        <v>10</v>
      </c>
      <c r="F74" s="1" t="s">
        <v>11</v>
      </c>
      <c r="G74" s="4">
        <v>7.0</v>
      </c>
      <c r="H74" s="9">
        <v>320.18</v>
      </c>
    </row>
    <row r="75" hidden="1">
      <c r="A75" s="6">
        <v>41364.0</v>
      </c>
      <c r="B75" s="7">
        <v>1.0</v>
      </c>
      <c r="C75" s="1" t="s">
        <v>14</v>
      </c>
      <c r="D75" s="1" t="s">
        <v>21</v>
      </c>
      <c r="E75" s="8" t="s">
        <v>12</v>
      </c>
      <c r="F75" s="1" t="s">
        <v>19</v>
      </c>
      <c r="G75" s="4">
        <v>5.0</v>
      </c>
      <c r="H75" s="9">
        <v>128.57</v>
      </c>
    </row>
    <row r="76" hidden="1">
      <c r="A76" s="6">
        <v>41364.0</v>
      </c>
      <c r="B76" s="7">
        <v>1.0</v>
      </c>
      <c r="C76" s="1" t="s">
        <v>15</v>
      </c>
      <c r="D76" s="1" t="s">
        <v>9</v>
      </c>
      <c r="E76" s="1" t="s">
        <v>12</v>
      </c>
      <c r="F76" s="1" t="s">
        <v>19</v>
      </c>
      <c r="G76" s="4">
        <v>6.0</v>
      </c>
      <c r="H76" s="9">
        <v>248.42</v>
      </c>
    </row>
    <row r="77" hidden="1">
      <c r="A77" s="6">
        <v>41364.0</v>
      </c>
      <c r="B77" s="7">
        <v>1.0</v>
      </c>
      <c r="C77" s="1" t="s">
        <v>15</v>
      </c>
      <c r="D77" s="1" t="s">
        <v>18</v>
      </c>
      <c r="E77" s="1" t="s">
        <v>17</v>
      </c>
      <c r="F77" s="1" t="s">
        <v>19</v>
      </c>
      <c r="G77" s="4">
        <v>2.0</v>
      </c>
      <c r="H77" s="9">
        <v>50.04</v>
      </c>
      <c r="J77" s="9"/>
      <c r="K77" s="9"/>
      <c r="L77" s="9"/>
    </row>
    <row r="78" hidden="1">
      <c r="A78" s="6">
        <v>41365.0</v>
      </c>
      <c r="B78" s="7">
        <v>2.0</v>
      </c>
      <c r="C78" s="1" t="s">
        <v>8</v>
      </c>
      <c r="D78" s="1" t="s">
        <v>18</v>
      </c>
      <c r="E78" s="1" t="s">
        <v>17</v>
      </c>
      <c r="F78" s="1" t="s">
        <v>19</v>
      </c>
      <c r="G78" s="4">
        <v>4.0</v>
      </c>
      <c r="H78" s="9">
        <v>145.48</v>
      </c>
      <c r="J78" s="9"/>
      <c r="K78" s="9"/>
      <c r="L78" s="9"/>
    </row>
    <row r="79" hidden="1">
      <c r="A79" s="6">
        <v>41365.0</v>
      </c>
      <c r="B79" s="7">
        <v>2.0</v>
      </c>
      <c r="C79" s="1" t="s">
        <v>14</v>
      </c>
      <c r="D79" s="1" t="s">
        <v>9</v>
      </c>
      <c r="E79" s="8" t="s">
        <v>12</v>
      </c>
      <c r="F79" s="1" t="s">
        <v>11</v>
      </c>
      <c r="G79" s="4">
        <v>9.0</v>
      </c>
      <c r="H79" s="9">
        <v>403.6</v>
      </c>
    </row>
    <row r="80">
      <c r="A80" s="6">
        <v>41365.0</v>
      </c>
      <c r="B80" s="7">
        <v>2.0</v>
      </c>
      <c r="C80" s="1" t="s">
        <v>14</v>
      </c>
      <c r="D80" s="1" t="s">
        <v>18</v>
      </c>
      <c r="E80" s="1" t="s">
        <v>17</v>
      </c>
      <c r="F80" s="1" t="s">
        <v>11</v>
      </c>
      <c r="G80" s="4">
        <v>6.0</v>
      </c>
      <c r="H80" s="9">
        <v>284.14</v>
      </c>
      <c r="L80" s="9"/>
    </row>
    <row r="81" hidden="1">
      <c r="A81" s="6">
        <v>41365.0</v>
      </c>
      <c r="B81" s="7">
        <v>2.0</v>
      </c>
      <c r="C81" s="1" t="s">
        <v>14</v>
      </c>
      <c r="D81" s="1" t="s">
        <v>9</v>
      </c>
      <c r="E81" s="1" t="s">
        <v>12</v>
      </c>
      <c r="F81" s="1" t="s">
        <v>11</v>
      </c>
      <c r="G81" s="4">
        <v>1.0</v>
      </c>
      <c r="H81" s="9">
        <v>81.14</v>
      </c>
    </row>
    <row r="82" hidden="1">
      <c r="A82" s="6">
        <v>41366.0</v>
      </c>
      <c r="B82" s="7">
        <v>3.0</v>
      </c>
      <c r="C82" s="1" t="s">
        <v>8</v>
      </c>
      <c r="D82" s="1" t="s">
        <v>21</v>
      </c>
      <c r="E82" s="1" t="s">
        <v>12</v>
      </c>
      <c r="F82" s="1" t="s">
        <v>11</v>
      </c>
      <c r="G82" s="4">
        <v>3.0</v>
      </c>
      <c r="H82" s="9">
        <v>82.36</v>
      </c>
    </row>
    <row r="83" hidden="1">
      <c r="A83" s="6">
        <v>41366.0</v>
      </c>
      <c r="B83" s="7">
        <v>3.0</v>
      </c>
      <c r="C83" s="1" t="s">
        <v>14</v>
      </c>
      <c r="D83" s="1" t="s">
        <v>21</v>
      </c>
      <c r="E83" s="8" t="s">
        <v>12</v>
      </c>
      <c r="F83" s="1" t="s">
        <v>11</v>
      </c>
      <c r="G83" s="4">
        <v>2.0</v>
      </c>
      <c r="H83" s="9">
        <v>32.65</v>
      </c>
    </row>
    <row r="84">
      <c r="A84" s="6">
        <v>41366.0</v>
      </c>
      <c r="B84" s="7">
        <v>3.0</v>
      </c>
      <c r="C84" s="1" t="s">
        <v>14</v>
      </c>
      <c r="D84" s="1" t="s">
        <v>18</v>
      </c>
      <c r="E84" s="1" t="s">
        <v>10</v>
      </c>
      <c r="F84" s="1" t="s">
        <v>11</v>
      </c>
      <c r="G84" s="4">
        <v>6.0</v>
      </c>
      <c r="H84" s="9">
        <v>200.7</v>
      </c>
      <c r="L84" s="9"/>
    </row>
    <row r="85">
      <c r="A85" s="6">
        <v>41366.0</v>
      </c>
      <c r="B85" s="7">
        <v>3.0</v>
      </c>
      <c r="C85" s="1" t="s">
        <v>14</v>
      </c>
      <c r="D85" s="1" t="s">
        <v>18</v>
      </c>
      <c r="E85" s="1" t="s">
        <v>12</v>
      </c>
      <c r="F85" s="1" t="s">
        <v>11</v>
      </c>
      <c r="G85" s="4">
        <v>3.0</v>
      </c>
      <c r="H85" s="9">
        <v>99.13</v>
      </c>
      <c r="L85" s="9"/>
    </row>
    <row r="86" hidden="1">
      <c r="A86" s="6">
        <v>41367.0</v>
      </c>
      <c r="B86" s="7">
        <v>4.0</v>
      </c>
      <c r="C86" s="1" t="s">
        <v>8</v>
      </c>
      <c r="D86" s="1" t="s">
        <v>20</v>
      </c>
      <c r="E86" s="1" t="s">
        <v>10</v>
      </c>
      <c r="F86" s="1" t="s">
        <v>11</v>
      </c>
      <c r="G86" s="4">
        <v>4.0</v>
      </c>
      <c r="H86" s="9">
        <v>85.88</v>
      </c>
    </row>
    <row r="87" hidden="1">
      <c r="A87" s="6">
        <v>41367.0</v>
      </c>
      <c r="B87" s="7">
        <v>4.0</v>
      </c>
      <c r="C87" s="1" t="s">
        <v>14</v>
      </c>
      <c r="D87" s="1" t="s">
        <v>20</v>
      </c>
      <c r="E87" s="8" t="s">
        <v>12</v>
      </c>
      <c r="F87" s="1" t="s">
        <v>19</v>
      </c>
      <c r="G87" s="4">
        <v>3.0</v>
      </c>
      <c r="H87" s="9">
        <v>183.52</v>
      </c>
    </row>
    <row r="88" hidden="1">
      <c r="A88" s="6">
        <v>41367.0</v>
      </c>
      <c r="B88" s="7">
        <v>4.0</v>
      </c>
      <c r="C88" s="1" t="s">
        <v>14</v>
      </c>
      <c r="D88" s="1" t="s">
        <v>9</v>
      </c>
      <c r="E88" s="1" t="s">
        <v>10</v>
      </c>
      <c r="F88" s="1" t="s">
        <v>11</v>
      </c>
      <c r="G88" s="4">
        <v>2.0</v>
      </c>
      <c r="H88" s="9">
        <v>53.87</v>
      </c>
    </row>
    <row r="89" hidden="1">
      <c r="A89" s="6">
        <v>41367.0</v>
      </c>
      <c r="B89" s="7">
        <v>4.0</v>
      </c>
      <c r="C89" s="1" t="s">
        <v>15</v>
      </c>
      <c r="D89" s="1" t="s">
        <v>18</v>
      </c>
      <c r="E89" s="1" t="s">
        <v>12</v>
      </c>
      <c r="F89" s="1" t="s">
        <v>19</v>
      </c>
      <c r="G89" s="4">
        <v>3.0</v>
      </c>
      <c r="H89" s="9">
        <v>44.08</v>
      </c>
      <c r="J89" s="9"/>
      <c r="K89" s="9"/>
      <c r="L89" s="9"/>
    </row>
    <row r="90" hidden="1">
      <c r="A90" s="6">
        <v>41368.0</v>
      </c>
      <c r="B90" s="7">
        <v>5.0</v>
      </c>
      <c r="C90" s="1" t="s">
        <v>8</v>
      </c>
      <c r="D90" s="1" t="s">
        <v>21</v>
      </c>
      <c r="E90" s="1" t="s">
        <v>10</v>
      </c>
      <c r="F90" s="1" t="s">
        <v>11</v>
      </c>
      <c r="G90" s="4">
        <v>1.0</v>
      </c>
      <c r="H90" s="9">
        <v>82.34</v>
      </c>
    </row>
    <row r="91" hidden="1">
      <c r="A91" s="6">
        <v>41368.0</v>
      </c>
      <c r="B91" s="7">
        <v>5.0</v>
      </c>
      <c r="C91" s="1" t="s">
        <v>14</v>
      </c>
      <c r="D91" s="1" t="s">
        <v>20</v>
      </c>
      <c r="E91" s="1" t="s">
        <v>17</v>
      </c>
      <c r="F91" s="1" t="s">
        <v>19</v>
      </c>
      <c r="G91" s="4">
        <v>3.0</v>
      </c>
      <c r="H91" s="9">
        <v>151.29</v>
      </c>
    </row>
    <row r="92" hidden="1">
      <c r="A92" s="6">
        <v>41369.0</v>
      </c>
      <c r="B92" s="7">
        <v>6.0</v>
      </c>
      <c r="C92" s="1" t="s">
        <v>8</v>
      </c>
      <c r="D92" s="1" t="s">
        <v>18</v>
      </c>
      <c r="E92" s="1" t="s">
        <v>10</v>
      </c>
      <c r="F92" s="1" t="s">
        <v>19</v>
      </c>
      <c r="G92" s="4">
        <v>5.0</v>
      </c>
      <c r="H92" s="9">
        <v>87.02</v>
      </c>
      <c r="J92" s="9"/>
      <c r="K92" s="9"/>
      <c r="L92" s="9"/>
    </row>
    <row r="93" hidden="1">
      <c r="A93" s="6">
        <v>41369.0</v>
      </c>
      <c r="B93" s="7">
        <v>6.0</v>
      </c>
      <c r="C93" s="1" t="s">
        <v>14</v>
      </c>
      <c r="D93" s="1" t="s">
        <v>21</v>
      </c>
      <c r="E93" s="1" t="s">
        <v>10</v>
      </c>
      <c r="F93" s="1" t="s">
        <v>19</v>
      </c>
      <c r="G93" s="4">
        <v>2.0</v>
      </c>
      <c r="H93" s="9">
        <v>54.96</v>
      </c>
    </row>
    <row r="94" hidden="1">
      <c r="A94" s="6">
        <v>41369.0</v>
      </c>
      <c r="B94" s="7">
        <v>6.0</v>
      </c>
      <c r="C94" s="1" t="s">
        <v>14</v>
      </c>
      <c r="D94" s="1" t="s">
        <v>21</v>
      </c>
      <c r="E94" s="1" t="s">
        <v>12</v>
      </c>
      <c r="F94" s="1" t="s">
        <v>11</v>
      </c>
      <c r="G94" s="4">
        <v>1.0</v>
      </c>
      <c r="H94" s="9">
        <v>65.11</v>
      </c>
    </row>
    <row r="95">
      <c r="A95" s="6">
        <v>41369.0</v>
      </c>
      <c r="B95" s="7">
        <v>6.0</v>
      </c>
      <c r="C95" s="1" t="s">
        <v>14</v>
      </c>
      <c r="D95" s="1" t="s">
        <v>18</v>
      </c>
      <c r="E95" s="1" t="s">
        <v>12</v>
      </c>
      <c r="F95" s="1" t="s">
        <v>11</v>
      </c>
      <c r="G95" s="4">
        <v>3.0</v>
      </c>
      <c r="H95" s="9">
        <v>76.69</v>
      </c>
      <c r="L95" s="9"/>
    </row>
    <row r="96">
      <c r="A96" s="6">
        <v>41369.0</v>
      </c>
      <c r="B96" s="7">
        <v>6.0</v>
      </c>
      <c r="C96" s="1" t="s">
        <v>15</v>
      </c>
      <c r="D96" s="1" t="s">
        <v>18</v>
      </c>
      <c r="E96" s="1" t="s">
        <v>10</v>
      </c>
      <c r="F96" s="1" t="s">
        <v>11</v>
      </c>
      <c r="G96" s="4">
        <v>2.0</v>
      </c>
      <c r="H96" s="9">
        <v>48.38</v>
      </c>
      <c r="L96" s="9"/>
    </row>
    <row r="97">
      <c r="A97" s="6">
        <v>41370.0</v>
      </c>
      <c r="B97" s="7">
        <v>7.0</v>
      </c>
      <c r="C97" s="1" t="s">
        <v>8</v>
      </c>
      <c r="D97" s="1" t="s">
        <v>18</v>
      </c>
      <c r="E97" s="1" t="s">
        <v>17</v>
      </c>
      <c r="F97" s="1" t="s">
        <v>11</v>
      </c>
      <c r="G97" s="4">
        <v>5.0</v>
      </c>
      <c r="H97" s="9">
        <v>76.64</v>
      </c>
      <c r="L97" s="9"/>
    </row>
    <row r="98">
      <c r="A98" s="6">
        <v>41370.0</v>
      </c>
      <c r="B98" s="7">
        <v>7.0</v>
      </c>
      <c r="C98" s="1" t="s">
        <v>14</v>
      </c>
      <c r="D98" s="1" t="s">
        <v>18</v>
      </c>
      <c r="E98" s="1" t="s">
        <v>10</v>
      </c>
      <c r="F98" s="1" t="s">
        <v>11</v>
      </c>
      <c r="G98" s="4">
        <v>2.0</v>
      </c>
      <c r="H98" s="9">
        <v>54.08</v>
      </c>
      <c r="L98" s="9"/>
    </row>
    <row r="99" hidden="1">
      <c r="A99" s="6">
        <v>41370.0</v>
      </c>
      <c r="B99" s="7">
        <v>7.0</v>
      </c>
      <c r="C99" s="1" t="s">
        <v>14</v>
      </c>
      <c r="D99" s="1" t="s">
        <v>20</v>
      </c>
      <c r="E99" s="1" t="s">
        <v>12</v>
      </c>
      <c r="F99" s="1" t="s">
        <v>11</v>
      </c>
      <c r="G99" s="4">
        <v>3.0</v>
      </c>
      <c r="H99" s="9">
        <v>130.0</v>
      </c>
    </row>
    <row r="100" hidden="1">
      <c r="A100" s="6">
        <v>41370.0</v>
      </c>
      <c r="B100" s="7">
        <v>7.0</v>
      </c>
      <c r="C100" s="1" t="s">
        <v>15</v>
      </c>
      <c r="D100" s="1" t="s">
        <v>21</v>
      </c>
      <c r="E100" s="8" t="s">
        <v>12</v>
      </c>
      <c r="F100" s="1" t="s">
        <v>11</v>
      </c>
      <c r="G100" s="4">
        <v>4.0</v>
      </c>
      <c r="H100" s="9">
        <v>218.29</v>
      </c>
    </row>
    <row r="101" hidden="1">
      <c r="A101" s="6">
        <v>41371.0</v>
      </c>
      <c r="B101" s="7">
        <v>1.0</v>
      </c>
      <c r="C101" s="1" t="s">
        <v>15</v>
      </c>
      <c r="D101" s="1" t="s">
        <v>9</v>
      </c>
      <c r="E101" s="1" t="s">
        <v>10</v>
      </c>
      <c r="F101" s="1" t="s">
        <v>19</v>
      </c>
      <c r="G101" s="4">
        <v>1.0</v>
      </c>
      <c r="H101" s="9">
        <v>38.1</v>
      </c>
    </row>
    <row r="102" hidden="1">
      <c r="A102" s="6">
        <v>41372.0</v>
      </c>
      <c r="B102" s="7">
        <v>2.0</v>
      </c>
      <c r="C102" s="1" t="s">
        <v>8</v>
      </c>
      <c r="D102" s="1" t="s">
        <v>18</v>
      </c>
      <c r="E102" s="1" t="s">
        <v>10</v>
      </c>
      <c r="F102" s="1" t="s">
        <v>19</v>
      </c>
      <c r="G102" s="4">
        <v>4.0</v>
      </c>
      <c r="H102" s="9">
        <v>100.02</v>
      </c>
      <c r="J102" s="9"/>
      <c r="K102" s="9"/>
      <c r="L102" s="9"/>
    </row>
    <row r="103" hidden="1">
      <c r="A103" s="6">
        <v>41372.0</v>
      </c>
      <c r="B103" s="7">
        <v>2.0</v>
      </c>
      <c r="C103" s="1" t="s">
        <v>8</v>
      </c>
      <c r="D103" s="1" t="s">
        <v>9</v>
      </c>
      <c r="E103" s="8" t="s">
        <v>17</v>
      </c>
      <c r="F103" s="1" t="s">
        <v>11</v>
      </c>
      <c r="G103" s="4">
        <v>4.0</v>
      </c>
      <c r="H103" s="9">
        <v>248.73</v>
      </c>
    </row>
    <row r="104" hidden="1">
      <c r="A104" s="6">
        <v>41372.0</v>
      </c>
      <c r="B104" s="7">
        <v>2.0</v>
      </c>
      <c r="C104" s="1" t="s">
        <v>8</v>
      </c>
      <c r="D104" s="1" t="s">
        <v>9</v>
      </c>
      <c r="E104" s="1" t="s">
        <v>12</v>
      </c>
      <c r="F104" s="1" t="s">
        <v>11</v>
      </c>
      <c r="G104" s="4">
        <v>2.0</v>
      </c>
      <c r="H104" s="9">
        <v>25.8</v>
      </c>
    </row>
    <row r="105" hidden="1">
      <c r="A105" s="6">
        <v>41372.0</v>
      </c>
      <c r="B105" s="7">
        <v>2.0</v>
      </c>
      <c r="C105" s="1" t="s">
        <v>15</v>
      </c>
      <c r="D105" s="1" t="s">
        <v>21</v>
      </c>
      <c r="E105" s="1" t="s">
        <v>17</v>
      </c>
      <c r="F105" s="1" t="s">
        <v>19</v>
      </c>
      <c r="G105" s="4">
        <v>1.0</v>
      </c>
      <c r="H105" s="9">
        <v>52.83</v>
      </c>
    </row>
    <row r="106" hidden="1">
      <c r="A106" s="6">
        <v>41373.0</v>
      </c>
      <c r="B106" s="7">
        <v>3.0</v>
      </c>
      <c r="C106" s="1" t="s">
        <v>8</v>
      </c>
      <c r="D106" s="1" t="s">
        <v>9</v>
      </c>
      <c r="E106" s="1" t="s">
        <v>10</v>
      </c>
      <c r="F106" s="1" t="s">
        <v>19</v>
      </c>
      <c r="G106" s="4">
        <v>3.0</v>
      </c>
      <c r="H106" s="9">
        <v>131.89</v>
      </c>
    </row>
    <row r="107" hidden="1">
      <c r="A107" s="6">
        <v>41373.0</v>
      </c>
      <c r="B107" s="7">
        <v>3.0</v>
      </c>
      <c r="C107" s="1" t="s">
        <v>8</v>
      </c>
      <c r="D107" s="1" t="s">
        <v>18</v>
      </c>
      <c r="E107" s="1" t="s">
        <v>12</v>
      </c>
      <c r="F107" s="1" t="s">
        <v>19</v>
      </c>
      <c r="G107" s="4">
        <v>3.0</v>
      </c>
      <c r="H107" s="9">
        <v>82.69</v>
      </c>
      <c r="J107" s="9"/>
      <c r="K107" s="9"/>
      <c r="L107" s="9"/>
    </row>
    <row r="108" hidden="1">
      <c r="A108" s="6">
        <v>41373.0</v>
      </c>
      <c r="B108" s="7">
        <v>3.0</v>
      </c>
      <c r="C108" s="1" t="s">
        <v>8</v>
      </c>
      <c r="D108" s="1" t="s">
        <v>9</v>
      </c>
      <c r="E108" s="1" t="s">
        <v>12</v>
      </c>
      <c r="F108" s="1" t="s">
        <v>19</v>
      </c>
      <c r="G108" s="4">
        <v>1.0</v>
      </c>
      <c r="H108" s="9">
        <v>70.03</v>
      </c>
    </row>
    <row r="109">
      <c r="A109" s="6">
        <v>41373.0</v>
      </c>
      <c r="B109" s="7">
        <v>3.0</v>
      </c>
      <c r="C109" s="1" t="s">
        <v>8</v>
      </c>
      <c r="D109" s="1" t="s">
        <v>18</v>
      </c>
      <c r="E109" s="8" t="s">
        <v>12</v>
      </c>
      <c r="F109" s="1" t="s">
        <v>11</v>
      </c>
      <c r="G109" s="4">
        <v>1.0</v>
      </c>
      <c r="H109" s="9">
        <v>102.86</v>
      </c>
      <c r="L109" s="9"/>
    </row>
    <row r="110" hidden="1">
      <c r="A110" s="6">
        <v>41373.0</v>
      </c>
      <c r="B110" s="7">
        <v>3.0</v>
      </c>
      <c r="C110" s="1" t="s">
        <v>8</v>
      </c>
      <c r="D110" s="1" t="s">
        <v>9</v>
      </c>
      <c r="E110" s="1" t="s">
        <v>17</v>
      </c>
      <c r="F110" s="1" t="s">
        <v>19</v>
      </c>
      <c r="G110" s="4">
        <v>4.0</v>
      </c>
      <c r="H110" s="9">
        <v>174.13</v>
      </c>
    </row>
    <row r="111" hidden="1">
      <c r="A111" s="6">
        <v>41374.0</v>
      </c>
      <c r="B111" s="7">
        <v>4.0</v>
      </c>
      <c r="C111" s="1" t="s">
        <v>8</v>
      </c>
      <c r="D111" s="1" t="s">
        <v>20</v>
      </c>
      <c r="E111" s="1" t="s">
        <v>12</v>
      </c>
      <c r="F111" s="1" t="s">
        <v>11</v>
      </c>
      <c r="G111" s="4">
        <v>2.0</v>
      </c>
      <c r="H111" s="9">
        <v>49.8</v>
      </c>
    </row>
    <row r="112" hidden="1">
      <c r="A112" s="6">
        <v>41374.0</v>
      </c>
      <c r="B112" s="7">
        <v>4.0</v>
      </c>
      <c r="C112" s="1" t="s">
        <v>8</v>
      </c>
      <c r="D112" s="1" t="s">
        <v>21</v>
      </c>
      <c r="E112" s="8" t="s">
        <v>17</v>
      </c>
      <c r="F112" s="1" t="s">
        <v>11</v>
      </c>
      <c r="G112" s="4">
        <v>2.0</v>
      </c>
      <c r="H112" s="9">
        <v>29.97</v>
      </c>
    </row>
    <row r="113" hidden="1">
      <c r="A113" s="6">
        <v>41374.0</v>
      </c>
      <c r="B113" s="7">
        <v>4.0</v>
      </c>
      <c r="C113" s="1" t="s">
        <v>14</v>
      </c>
      <c r="D113" s="1" t="s">
        <v>21</v>
      </c>
      <c r="E113" s="1" t="s">
        <v>12</v>
      </c>
      <c r="F113" s="1" t="s">
        <v>19</v>
      </c>
      <c r="G113" s="4">
        <v>2.0</v>
      </c>
      <c r="H113" s="9">
        <v>82.53</v>
      </c>
    </row>
    <row r="114" hidden="1">
      <c r="A114" s="6">
        <v>41374.0</v>
      </c>
      <c r="B114" s="7">
        <v>4.0</v>
      </c>
      <c r="C114" s="1" t="s">
        <v>14</v>
      </c>
      <c r="D114" s="1" t="s">
        <v>20</v>
      </c>
      <c r="E114" s="8" t="s">
        <v>12</v>
      </c>
      <c r="F114" s="1" t="s">
        <v>11</v>
      </c>
      <c r="G114" s="4">
        <v>4.0</v>
      </c>
      <c r="H114" s="9">
        <v>142.76</v>
      </c>
    </row>
    <row r="115" hidden="1">
      <c r="A115" s="6">
        <v>41374.0</v>
      </c>
      <c r="B115" s="7">
        <v>4.0</v>
      </c>
      <c r="C115" s="1" t="s">
        <v>15</v>
      </c>
      <c r="D115" s="1" t="s">
        <v>18</v>
      </c>
      <c r="E115" s="1" t="s">
        <v>17</v>
      </c>
      <c r="F115" s="1" t="s">
        <v>19</v>
      </c>
      <c r="G115" s="4">
        <v>2.0</v>
      </c>
      <c r="H115" s="9">
        <v>72.58</v>
      </c>
      <c r="J115" s="9"/>
      <c r="K115" s="9"/>
      <c r="L115" s="9"/>
    </row>
    <row r="116" hidden="1">
      <c r="A116" s="6">
        <v>41374.0</v>
      </c>
      <c r="B116" s="7">
        <v>4.0</v>
      </c>
      <c r="C116" s="1" t="s">
        <v>15</v>
      </c>
      <c r="D116" s="1" t="s">
        <v>21</v>
      </c>
      <c r="E116" s="1" t="s">
        <v>10</v>
      </c>
      <c r="F116" s="1" t="s">
        <v>19</v>
      </c>
      <c r="G116" s="4">
        <v>2.0</v>
      </c>
      <c r="H116" s="9">
        <v>55.39</v>
      </c>
    </row>
    <row r="117" hidden="1">
      <c r="A117" s="6">
        <v>41375.0</v>
      </c>
      <c r="B117" s="7">
        <v>5.0</v>
      </c>
      <c r="C117" s="1" t="s">
        <v>14</v>
      </c>
      <c r="D117" s="1" t="s">
        <v>9</v>
      </c>
      <c r="E117" s="1" t="s">
        <v>10</v>
      </c>
      <c r="F117" s="1" t="s">
        <v>11</v>
      </c>
      <c r="G117" s="4">
        <v>4.0</v>
      </c>
      <c r="H117" s="9">
        <v>206.39</v>
      </c>
    </row>
    <row r="118" hidden="1">
      <c r="A118" s="6">
        <v>41376.0</v>
      </c>
      <c r="B118" s="7">
        <v>6.0</v>
      </c>
      <c r="C118" s="1" t="s">
        <v>8</v>
      </c>
      <c r="D118" s="1" t="s">
        <v>21</v>
      </c>
      <c r="E118" s="1" t="s">
        <v>12</v>
      </c>
      <c r="F118" s="1" t="s">
        <v>11</v>
      </c>
      <c r="G118" s="4">
        <v>4.0</v>
      </c>
      <c r="H118" s="9">
        <v>245.67</v>
      </c>
    </row>
    <row r="119">
      <c r="A119" s="6">
        <v>41376.0</v>
      </c>
      <c r="B119" s="7">
        <v>6.0</v>
      </c>
      <c r="C119" s="1" t="s">
        <v>8</v>
      </c>
      <c r="D119" s="1" t="s">
        <v>18</v>
      </c>
      <c r="E119" s="1" t="s">
        <v>12</v>
      </c>
      <c r="F119" s="1" t="s">
        <v>11</v>
      </c>
      <c r="G119" s="4">
        <v>5.0</v>
      </c>
      <c r="H119" s="9">
        <v>265.69</v>
      </c>
      <c r="L119" s="9"/>
    </row>
    <row r="120" hidden="1">
      <c r="A120" s="6">
        <v>41376.0</v>
      </c>
      <c r="B120" s="7">
        <v>6.0</v>
      </c>
      <c r="C120" s="1" t="s">
        <v>14</v>
      </c>
      <c r="D120" s="1" t="s">
        <v>20</v>
      </c>
      <c r="E120" s="1" t="s">
        <v>12</v>
      </c>
      <c r="F120" s="1" t="s">
        <v>11</v>
      </c>
      <c r="G120" s="4">
        <v>3.0</v>
      </c>
      <c r="H120" s="9">
        <v>124.46</v>
      </c>
    </row>
    <row r="121">
      <c r="A121" s="6">
        <v>41376.0</v>
      </c>
      <c r="B121" s="7">
        <v>6.0</v>
      </c>
      <c r="C121" s="1" t="s">
        <v>14</v>
      </c>
      <c r="D121" s="1" t="s">
        <v>18</v>
      </c>
      <c r="E121" s="1" t="s">
        <v>12</v>
      </c>
      <c r="F121" s="1" t="s">
        <v>11</v>
      </c>
      <c r="G121" s="4">
        <v>6.0</v>
      </c>
      <c r="H121" s="9">
        <v>206.26</v>
      </c>
      <c r="L121" s="9"/>
    </row>
    <row r="122" hidden="1">
      <c r="A122" s="6">
        <v>41377.0</v>
      </c>
      <c r="B122" s="7">
        <v>7.0</v>
      </c>
      <c r="C122" s="1" t="s">
        <v>14</v>
      </c>
      <c r="D122" s="1" t="s">
        <v>20</v>
      </c>
      <c r="E122" s="8" t="s">
        <v>12</v>
      </c>
      <c r="F122" s="1" t="s">
        <v>11</v>
      </c>
      <c r="G122" s="4">
        <v>7.0</v>
      </c>
      <c r="H122" s="9">
        <v>306.23</v>
      </c>
    </row>
    <row r="123" hidden="1">
      <c r="A123" s="6">
        <v>41378.0</v>
      </c>
      <c r="B123" s="7">
        <v>1.0</v>
      </c>
      <c r="C123" s="1" t="s">
        <v>8</v>
      </c>
      <c r="D123" s="1" t="s">
        <v>20</v>
      </c>
      <c r="E123" s="8" t="s">
        <v>17</v>
      </c>
      <c r="F123" s="1" t="s">
        <v>11</v>
      </c>
      <c r="G123" s="4">
        <v>1.0</v>
      </c>
      <c r="H123" s="9">
        <v>48.12</v>
      </c>
    </row>
    <row r="124" hidden="1">
      <c r="A124" s="6">
        <v>41378.0</v>
      </c>
      <c r="B124" s="7">
        <v>1.0</v>
      </c>
      <c r="C124" s="1" t="s">
        <v>14</v>
      </c>
      <c r="D124" s="1" t="s">
        <v>21</v>
      </c>
      <c r="E124" s="1" t="s">
        <v>12</v>
      </c>
      <c r="F124" s="1" t="s">
        <v>19</v>
      </c>
      <c r="G124" s="4">
        <v>4.0</v>
      </c>
      <c r="H124" s="9">
        <v>113.95</v>
      </c>
    </row>
    <row r="125" hidden="1">
      <c r="A125" s="6">
        <v>41378.0</v>
      </c>
      <c r="B125" s="7">
        <v>1.0</v>
      </c>
      <c r="C125" s="1" t="s">
        <v>14</v>
      </c>
      <c r="D125" s="1" t="s">
        <v>9</v>
      </c>
      <c r="E125" s="1" t="s">
        <v>10</v>
      </c>
      <c r="F125" s="1" t="s">
        <v>11</v>
      </c>
      <c r="G125" s="4">
        <v>6.0</v>
      </c>
      <c r="H125" s="9">
        <v>261.44</v>
      </c>
    </row>
    <row r="126" hidden="1">
      <c r="A126" s="6">
        <v>41379.0</v>
      </c>
      <c r="B126" s="7">
        <v>2.0</v>
      </c>
      <c r="C126" s="1" t="s">
        <v>8</v>
      </c>
      <c r="D126" s="1" t="s">
        <v>20</v>
      </c>
      <c r="E126" s="1" t="s">
        <v>17</v>
      </c>
      <c r="F126" s="1" t="s">
        <v>19</v>
      </c>
      <c r="G126" s="4">
        <v>2.0</v>
      </c>
      <c r="H126" s="9">
        <v>59.9</v>
      </c>
    </row>
    <row r="127" hidden="1">
      <c r="A127" s="6">
        <v>41379.0</v>
      </c>
      <c r="B127" s="7">
        <v>2.0</v>
      </c>
      <c r="C127" s="1" t="s">
        <v>8</v>
      </c>
      <c r="D127" s="1" t="s">
        <v>21</v>
      </c>
      <c r="E127" s="1" t="s">
        <v>10</v>
      </c>
      <c r="F127" s="1" t="s">
        <v>11</v>
      </c>
      <c r="G127" s="4">
        <v>2.0</v>
      </c>
      <c r="H127" s="9">
        <v>49.73</v>
      </c>
    </row>
    <row r="128" hidden="1">
      <c r="A128" s="6">
        <v>41379.0</v>
      </c>
      <c r="B128" s="7">
        <v>2.0</v>
      </c>
      <c r="C128" s="1" t="s">
        <v>8</v>
      </c>
      <c r="D128" s="1" t="s">
        <v>21</v>
      </c>
      <c r="E128" s="1" t="s">
        <v>10</v>
      </c>
      <c r="F128" s="1" t="s">
        <v>11</v>
      </c>
      <c r="G128" s="4">
        <v>3.0</v>
      </c>
      <c r="H128" s="9">
        <v>65.06</v>
      </c>
    </row>
    <row r="129" hidden="1">
      <c r="A129" s="6">
        <v>41379.0</v>
      </c>
      <c r="B129" s="7">
        <v>2.0</v>
      </c>
      <c r="C129" s="1" t="s">
        <v>14</v>
      </c>
      <c r="D129" s="1" t="s">
        <v>9</v>
      </c>
      <c r="E129" s="1" t="s">
        <v>10</v>
      </c>
      <c r="F129" s="1" t="s">
        <v>19</v>
      </c>
      <c r="G129" s="4">
        <v>4.0</v>
      </c>
      <c r="H129" s="9">
        <v>97.71</v>
      </c>
    </row>
    <row r="130">
      <c r="A130" s="6">
        <v>41379.0</v>
      </c>
      <c r="B130" s="7">
        <v>2.0</v>
      </c>
      <c r="C130" s="1" t="s">
        <v>14</v>
      </c>
      <c r="D130" s="1" t="s">
        <v>18</v>
      </c>
      <c r="E130" s="1" t="s">
        <v>17</v>
      </c>
      <c r="F130" s="1" t="s">
        <v>11</v>
      </c>
      <c r="G130" s="4">
        <v>1.0</v>
      </c>
      <c r="H130" s="9">
        <v>49.84</v>
      </c>
      <c r="L130" s="9"/>
    </row>
    <row r="131" hidden="1">
      <c r="A131" s="6">
        <v>41379.0</v>
      </c>
      <c r="B131" s="7">
        <v>2.0</v>
      </c>
      <c r="C131" s="1" t="s">
        <v>15</v>
      </c>
      <c r="D131" s="1" t="s">
        <v>21</v>
      </c>
      <c r="E131" s="1" t="s">
        <v>17</v>
      </c>
      <c r="F131" s="1" t="s">
        <v>11</v>
      </c>
      <c r="G131" s="4">
        <v>6.0</v>
      </c>
      <c r="H131" s="9">
        <v>233.94</v>
      </c>
    </row>
    <row r="132" hidden="1">
      <c r="A132" s="6">
        <v>41379.0</v>
      </c>
      <c r="B132" s="7">
        <v>2.0</v>
      </c>
      <c r="C132" s="1" t="s">
        <v>15</v>
      </c>
      <c r="D132" s="1" t="s">
        <v>9</v>
      </c>
      <c r="E132" s="8" t="s">
        <v>12</v>
      </c>
      <c r="F132" s="1" t="s">
        <v>11</v>
      </c>
      <c r="G132" s="4">
        <v>9.0</v>
      </c>
      <c r="H132" s="9">
        <v>370.26</v>
      </c>
    </row>
    <row r="133" hidden="1">
      <c r="A133" s="6">
        <v>41380.0</v>
      </c>
      <c r="B133" s="7">
        <v>3.0</v>
      </c>
      <c r="C133" s="1" t="s">
        <v>14</v>
      </c>
      <c r="D133" s="1" t="s">
        <v>9</v>
      </c>
      <c r="E133" s="8" t="s">
        <v>17</v>
      </c>
      <c r="F133" s="1" t="s">
        <v>19</v>
      </c>
      <c r="G133" s="4">
        <v>6.0</v>
      </c>
      <c r="H133" s="9">
        <v>313.11</v>
      </c>
    </row>
    <row r="134">
      <c r="A134" s="6">
        <v>41380.0</v>
      </c>
      <c r="B134" s="7">
        <v>3.0</v>
      </c>
      <c r="C134" s="1" t="s">
        <v>14</v>
      </c>
      <c r="D134" s="1" t="s">
        <v>18</v>
      </c>
      <c r="E134" s="1" t="s">
        <v>17</v>
      </c>
      <c r="F134" s="1" t="s">
        <v>11</v>
      </c>
      <c r="G134" s="4">
        <v>6.0</v>
      </c>
      <c r="H134" s="9">
        <v>141.77</v>
      </c>
      <c r="L134" s="9"/>
    </row>
    <row r="135" hidden="1">
      <c r="A135" s="6">
        <v>41380.0</v>
      </c>
      <c r="B135" s="7">
        <v>3.0</v>
      </c>
      <c r="C135" s="1" t="s">
        <v>15</v>
      </c>
      <c r="D135" s="1" t="s">
        <v>20</v>
      </c>
      <c r="E135" s="1" t="s">
        <v>12</v>
      </c>
      <c r="F135" s="1" t="s">
        <v>11</v>
      </c>
      <c r="G135" s="4">
        <v>1.0</v>
      </c>
      <c r="H135" s="9">
        <v>27.99</v>
      </c>
    </row>
    <row r="136" hidden="1">
      <c r="A136" s="6">
        <v>41381.0</v>
      </c>
      <c r="B136" s="7">
        <v>4.0</v>
      </c>
      <c r="C136" s="1" t="s">
        <v>8</v>
      </c>
      <c r="D136" s="1" t="s">
        <v>21</v>
      </c>
      <c r="E136" s="1" t="s">
        <v>10</v>
      </c>
      <c r="F136" s="1" t="s">
        <v>11</v>
      </c>
      <c r="G136" s="4">
        <v>3.0</v>
      </c>
      <c r="H136" s="9">
        <v>81.34</v>
      </c>
    </row>
    <row r="137" hidden="1">
      <c r="A137" s="6">
        <v>41381.0</v>
      </c>
      <c r="B137" s="7">
        <v>4.0</v>
      </c>
      <c r="C137" s="1" t="s">
        <v>14</v>
      </c>
      <c r="D137" s="1" t="s">
        <v>9</v>
      </c>
      <c r="E137" s="1" t="s">
        <v>10</v>
      </c>
      <c r="F137" s="1" t="s">
        <v>11</v>
      </c>
      <c r="G137" s="4">
        <v>2.0</v>
      </c>
      <c r="H137" s="9">
        <v>97.15</v>
      </c>
    </row>
    <row r="138" hidden="1">
      <c r="A138" s="6">
        <v>41381.0</v>
      </c>
      <c r="B138" s="7">
        <v>4.0</v>
      </c>
      <c r="C138" s="1" t="s">
        <v>15</v>
      </c>
      <c r="D138" s="1" t="s">
        <v>9</v>
      </c>
      <c r="E138" s="1" t="s">
        <v>17</v>
      </c>
      <c r="F138" s="1" t="s">
        <v>19</v>
      </c>
      <c r="G138" s="4">
        <v>7.0</v>
      </c>
      <c r="H138" s="9">
        <v>352.49</v>
      </c>
    </row>
    <row r="139" hidden="1">
      <c r="A139" s="6">
        <v>41382.0</v>
      </c>
      <c r="B139" s="7">
        <v>5.0</v>
      </c>
      <c r="C139" s="1" t="s">
        <v>8</v>
      </c>
      <c r="D139" s="1" t="s">
        <v>20</v>
      </c>
      <c r="E139" s="1" t="s">
        <v>10</v>
      </c>
      <c r="F139" s="1" t="s">
        <v>11</v>
      </c>
      <c r="G139" s="4">
        <v>3.0</v>
      </c>
      <c r="H139" s="9">
        <v>88.75</v>
      </c>
    </row>
    <row r="140">
      <c r="A140" s="6">
        <v>41382.0</v>
      </c>
      <c r="B140" s="7">
        <v>5.0</v>
      </c>
      <c r="C140" s="1" t="s">
        <v>14</v>
      </c>
      <c r="D140" s="1" t="s">
        <v>18</v>
      </c>
      <c r="E140" s="1" t="s">
        <v>10</v>
      </c>
      <c r="F140" s="1" t="s">
        <v>11</v>
      </c>
      <c r="G140" s="4">
        <v>4.0</v>
      </c>
      <c r="H140" s="9">
        <v>107.95</v>
      </c>
      <c r="L140" s="9"/>
    </row>
    <row r="141" hidden="1">
      <c r="A141" s="6">
        <v>41382.0</v>
      </c>
      <c r="B141" s="7">
        <v>5.0</v>
      </c>
      <c r="C141" s="1" t="s">
        <v>15</v>
      </c>
      <c r="D141" s="1" t="s">
        <v>18</v>
      </c>
      <c r="E141" s="1" t="s">
        <v>12</v>
      </c>
      <c r="F141" s="1" t="s">
        <v>19</v>
      </c>
      <c r="G141" s="4">
        <v>5.0</v>
      </c>
      <c r="H141" s="9">
        <v>186.22</v>
      </c>
      <c r="J141" s="9"/>
      <c r="K141" s="9"/>
      <c r="L141" s="9"/>
    </row>
    <row r="142" hidden="1">
      <c r="A142" s="6">
        <v>41383.0</v>
      </c>
      <c r="B142" s="7">
        <v>6.0</v>
      </c>
      <c r="C142" s="1" t="s">
        <v>8</v>
      </c>
      <c r="D142" s="1" t="s">
        <v>21</v>
      </c>
      <c r="E142" s="1" t="s">
        <v>12</v>
      </c>
      <c r="F142" s="1" t="s">
        <v>11</v>
      </c>
      <c r="G142" s="4">
        <v>4.0</v>
      </c>
      <c r="H142" s="9">
        <v>159.23</v>
      </c>
    </row>
    <row r="143" hidden="1">
      <c r="A143" s="6">
        <v>41383.0</v>
      </c>
      <c r="B143" s="7">
        <v>6.0</v>
      </c>
      <c r="C143" s="1" t="s">
        <v>14</v>
      </c>
      <c r="D143" s="1" t="s">
        <v>21</v>
      </c>
      <c r="E143" s="1" t="s">
        <v>12</v>
      </c>
      <c r="F143" s="1" t="s">
        <v>11</v>
      </c>
      <c r="G143" s="4">
        <v>2.0</v>
      </c>
      <c r="H143" s="9">
        <v>82.43</v>
      </c>
    </row>
    <row r="144" hidden="1">
      <c r="A144" s="6">
        <v>41383.0</v>
      </c>
      <c r="B144" s="7">
        <v>6.0</v>
      </c>
      <c r="C144" s="1" t="s">
        <v>15</v>
      </c>
      <c r="D144" s="1" t="s">
        <v>18</v>
      </c>
      <c r="E144" s="1" t="s">
        <v>12</v>
      </c>
      <c r="F144" s="1" t="s">
        <v>19</v>
      </c>
      <c r="G144" s="4">
        <v>4.0</v>
      </c>
      <c r="H144" s="9">
        <v>99.42</v>
      </c>
      <c r="J144" s="9"/>
      <c r="K144" s="9"/>
      <c r="L144" s="9"/>
    </row>
    <row r="145" hidden="1">
      <c r="A145" s="6">
        <v>41384.0</v>
      </c>
      <c r="B145" s="7">
        <v>7.0</v>
      </c>
      <c r="C145" s="1" t="s">
        <v>14</v>
      </c>
      <c r="D145" s="1" t="s">
        <v>18</v>
      </c>
      <c r="E145" s="8" t="s">
        <v>17</v>
      </c>
      <c r="F145" s="1" t="s">
        <v>19</v>
      </c>
      <c r="G145" s="4">
        <v>3.0</v>
      </c>
      <c r="H145" s="9">
        <v>79.32</v>
      </c>
      <c r="J145" s="9"/>
      <c r="K145" s="9"/>
      <c r="L145" s="9"/>
    </row>
    <row r="146" hidden="1">
      <c r="A146" s="6">
        <v>41384.0</v>
      </c>
      <c r="B146" s="7">
        <v>7.0</v>
      </c>
      <c r="C146" s="1" t="s">
        <v>15</v>
      </c>
      <c r="D146" s="1" t="s">
        <v>20</v>
      </c>
      <c r="E146" s="1" t="s">
        <v>10</v>
      </c>
      <c r="F146" s="1" t="s">
        <v>19</v>
      </c>
      <c r="G146" s="4">
        <v>3.0</v>
      </c>
      <c r="H146" s="9">
        <v>160.01</v>
      </c>
    </row>
    <row r="147" hidden="1">
      <c r="A147" s="6">
        <v>41384.0</v>
      </c>
      <c r="B147" s="7">
        <v>7.0</v>
      </c>
      <c r="C147" s="1" t="s">
        <v>15</v>
      </c>
      <c r="D147" s="1" t="s">
        <v>9</v>
      </c>
      <c r="E147" s="1" t="s">
        <v>10</v>
      </c>
      <c r="F147" s="1" t="s">
        <v>19</v>
      </c>
      <c r="G147" s="4">
        <v>2.0</v>
      </c>
      <c r="H147" s="9">
        <v>51.99</v>
      </c>
    </row>
    <row r="148" hidden="1">
      <c r="A148" s="6">
        <v>41385.0</v>
      </c>
      <c r="B148" s="7">
        <v>1.0</v>
      </c>
      <c r="C148" s="1" t="s">
        <v>8</v>
      </c>
      <c r="D148" s="1" t="s">
        <v>9</v>
      </c>
      <c r="E148" s="1" t="s">
        <v>10</v>
      </c>
      <c r="F148" s="1" t="s">
        <v>11</v>
      </c>
      <c r="G148" s="4">
        <v>8.0</v>
      </c>
      <c r="H148" s="9">
        <v>267.67</v>
      </c>
    </row>
    <row r="149">
      <c r="A149" s="6">
        <v>41385.0</v>
      </c>
      <c r="B149" s="7">
        <v>1.0</v>
      </c>
      <c r="C149" s="1" t="s">
        <v>14</v>
      </c>
      <c r="D149" s="1" t="s">
        <v>18</v>
      </c>
      <c r="E149" s="8" t="s">
        <v>12</v>
      </c>
      <c r="F149" s="1" t="s">
        <v>11</v>
      </c>
      <c r="G149" s="4">
        <v>9.0</v>
      </c>
      <c r="H149" s="9">
        <v>429.22</v>
      </c>
      <c r="L149" s="9"/>
    </row>
    <row r="150">
      <c r="A150" s="6">
        <v>41385.0</v>
      </c>
      <c r="B150" s="7">
        <v>1.0</v>
      </c>
      <c r="C150" s="1" t="s">
        <v>14</v>
      </c>
      <c r="D150" s="1" t="s">
        <v>18</v>
      </c>
      <c r="E150" s="1" t="s">
        <v>17</v>
      </c>
      <c r="F150" s="1" t="s">
        <v>11</v>
      </c>
      <c r="G150" s="4">
        <v>1.0</v>
      </c>
      <c r="H150" s="9">
        <v>46.2</v>
      </c>
      <c r="L150" s="9"/>
    </row>
    <row r="151">
      <c r="A151" s="6">
        <v>41385.0</v>
      </c>
      <c r="B151" s="7">
        <v>1.0</v>
      </c>
      <c r="C151" s="1" t="s">
        <v>14</v>
      </c>
      <c r="D151" s="1" t="s">
        <v>18</v>
      </c>
      <c r="E151" s="1" t="s">
        <v>10</v>
      </c>
      <c r="F151" s="1" t="s">
        <v>11</v>
      </c>
      <c r="G151" s="4">
        <v>5.0</v>
      </c>
      <c r="H151" s="9">
        <v>240.02</v>
      </c>
      <c r="L151" s="9"/>
    </row>
    <row r="152" hidden="1">
      <c r="A152" s="6">
        <v>41386.0</v>
      </c>
      <c r="B152" s="7">
        <v>2.0</v>
      </c>
      <c r="C152" s="1" t="s">
        <v>8</v>
      </c>
      <c r="D152" s="1" t="s">
        <v>20</v>
      </c>
      <c r="E152" s="8" t="s">
        <v>17</v>
      </c>
      <c r="F152" s="1" t="s">
        <v>19</v>
      </c>
      <c r="G152" s="4">
        <v>4.0</v>
      </c>
      <c r="H152" s="9">
        <v>157.14</v>
      </c>
    </row>
    <row r="153" hidden="1">
      <c r="A153" s="6">
        <v>41386.0</v>
      </c>
      <c r="B153" s="7">
        <v>2.0</v>
      </c>
      <c r="C153" s="1" t="s">
        <v>14</v>
      </c>
      <c r="D153" s="1" t="s">
        <v>21</v>
      </c>
      <c r="E153" s="1" t="s">
        <v>12</v>
      </c>
      <c r="F153" s="1" t="s">
        <v>11</v>
      </c>
      <c r="G153" s="4">
        <v>5.0</v>
      </c>
      <c r="H153" s="9">
        <v>140.4</v>
      </c>
    </row>
    <row r="154" hidden="1">
      <c r="A154" s="6">
        <v>41386.0</v>
      </c>
      <c r="B154" s="7">
        <v>2.0</v>
      </c>
      <c r="C154" s="1" t="s">
        <v>15</v>
      </c>
      <c r="D154" s="1" t="s">
        <v>18</v>
      </c>
      <c r="E154" s="8" t="s">
        <v>12</v>
      </c>
      <c r="F154" s="1" t="s">
        <v>19</v>
      </c>
      <c r="G154" s="4">
        <v>5.0</v>
      </c>
      <c r="H154" s="9">
        <v>204.93</v>
      </c>
      <c r="J154" s="9"/>
      <c r="K154" s="9"/>
      <c r="L154" s="9"/>
    </row>
    <row r="155" hidden="1">
      <c r="A155" s="6">
        <v>41387.0</v>
      </c>
      <c r="B155" s="7">
        <v>3.0</v>
      </c>
      <c r="C155" s="1" t="s">
        <v>8</v>
      </c>
      <c r="D155" s="1" t="s">
        <v>20</v>
      </c>
      <c r="E155" s="1" t="s">
        <v>10</v>
      </c>
      <c r="F155" s="1" t="s">
        <v>11</v>
      </c>
      <c r="G155" s="4">
        <v>2.0</v>
      </c>
      <c r="H155" s="9">
        <v>88.18</v>
      </c>
    </row>
    <row r="156" hidden="1">
      <c r="A156" s="6">
        <v>41387.0</v>
      </c>
      <c r="B156" s="7">
        <v>3.0</v>
      </c>
      <c r="C156" s="1" t="s">
        <v>14</v>
      </c>
      <c r="D156" s="1" t="s">
        <v>20</v>
      </c>
      <c r="E156" s="1" t="s">
        <v>17</v>
      </c>
      <c r="F156" s="1" t="s">
        <v>11</v>
      </c>
      <c r="G156" s="4">
        <v>3.0</v>
      </c>
      <c r="H156" s="9">
        <v>95.47</v>
      </c>
    </row>
    <row r="157" hidden="1">
      <c r="A157" s="6">
        <v>41388.0</v>
      </c>
      <c r="B157" s="7">
        <v>4.0</v>
      </c>
      <c r="C157" s="1" t="s">
        <v>8</v>
      </c>
      <c r="D157" s="1" t="s">
        <v>20</v>
      </c>
      <c r="E157" s="8" t="s">
        <v>12</v>
      </c>
      <c r="F157" s="1" t="s">
        <v>11</v>
      </c>
      <c r="G157" s="4">
        <v>5.0</v>
      </c>
      <c r="H157" s="9">
        <v>224.73</v>
      </c>
    </row>
    <row r="158" hidden="1">
      <c r="A158" s="6">
        <v>41388.0</v>
      </c>
      <c r="B158" s="7">
        <v>4.0</v>
      </c>
      <c r="C158" s="1" t="s">
        <v>8</v>
      </c>
      <c r="D158" s="1" t="s">
        <v>9</v>
      </c>
      <c r="E158" s="8" t="s">
        <v>12</v>
      </c>
      <c r="F158" s="1" t="s">
        <v>11</v>
      </c>
      <c r="G158" s="4">
        <v>8.0</v>
      </c>
      <c r="H158" s="9">
        <v>344.73</v>
      </c>
    </row>
    <row r="159">
      <c r="A159" s="6">
        <v>41388.0</v>
      </c>
      <c r="B159" s="7">
        <v>4.0</v>
      </c>
      <c r="C159" s="1" t="s">
        <v>14</v>
      </c>
      <c r="D159" s="1" t="s">
        <v>18</v>
      </c>
      <c r="E159" s="1" t="s">
        <v>10</v>
      </c>
      <c r="F159" s="1" t="s">
        <v>11</v>
      </c>
      <c r="G159" s="4">
        <v>4.0</v>
      </c>
      <c r="H159" s="9">
        <v>185.32</v>
      </c>
      <c r="L159" s="9"/>
    </row>
    <row r="160" hidden="1">
      <c r="A160" s="6">
        <v>41388.0</v>
      </c>
      <c r="B160" s="7">
        <v>4.0</v>
      </c>
      <c r="C160" s="1" t="s">
        <v>14</v>
      </c>
      <c r="D160" s="1" t="s">
        <v>20</v>
      </c>
      <c r="E160" s="8" t="s">
        <v>10</v>
      </c>
      <c r="F160" s="1" t="s">
        <v>11</v>
      </c>
      <c r="G160" s="4">
        <v>6.0</v>
      </c>
      <c r="H160" s="9">
        <v>297.31</v>
      </c>
    </row>
    <row r="161" hidden="1">
      <c r="A161" s="6">
        <v>41388.0</v>
      </c>
      <c r="B161" s="7">
        <v>4.0</v>
      </c>
      <c r="C161" s="1" t="s">
        <v>15</v>
      </c>
      <c r="D161" s="1" t="s">
        <v>20</v>
      </c>
      <c r="E161" s="1" t="s">
        <v>17</v>
      </c>
      <c r="F161" s="1" t="s">
        <v>19</v>
      </c>
      <c r="G161" s="4">
        <v>4.0</v>
      </c>
      <c r="H161" s="9">
        <v>223.32</v>
      </c>
    </row>
    <row r="162" hidden="1">
      <c r="A162" s="6">
        <v>41388.0</v>
      </c>
      <c r="B162" s="7">
        <v>4.0</v>
      </c>
      <c r="C162" s="1" t="s">
        <v>15</v>
      </c>
      <c r="D162" s="1" t="s">
        <v>20</v>
      </c>
      <c r="E162" s="8" t="s">
        <v>10</v>
      </c>
      <c r="F162" s="1" t="s">
        <v>11</v>
      </c>
      <c r="G162" s="4">
        <v>3.0</v>
      </c>
      <c r="H162" s="9">
        <v>164.4</v>
      </c>
    </row>
    <row r="163" hidden="1">
      <c r="A163" s="6">
        <v>41389.0</v>
      </c>
      <c r="B163" s="7">
        <v>5.0</v>
      </c>
      <c r="C163" s="1" t="s">
        <v>8</v>
      </c>
      <c r="D163" s="1" t="s">
        <v>9</v>
      </c>
      <c r="E163" s="8" t="s">
        <v>12</v>
      </c>
      <c r="F163" s="1" t="s">
        <v>11</v>
      </c>
      <c r="G163" s="4">
        <v>2.0</v>
      </c>
      <c r="H163" s="9">
        <v>123.57</v>
      </c>
    </row>
    <row r="164" hidden="1">
      <c r="A164" s="6">
        <v>41389.0</v>
      </c>
      <c r="B164" s="7">
        <v>5.0</v>
      </c>
      <c r="C164" s="1" t="s">
        <v>15</v>
      </c>
      <c r="D164" s="1" t="s">
        <v>18</v>
      </c>
      <c r="E164" s="8" t="s">
        <v>12</v>
      </c>
      <c r="F164" s="1" t="s">
        <v>19</v>
      </c>
      <c r="G164" s="4">
        <v>5.0</v>
      </c>
      <c r="H164" s="9">
        <v>236.97</v>
      </c>
      <c r="J164" s="9"/>
      <c r="K164" s="9"/>
      <c r="L164" s="9"/>
    </row>
    <row r="165" hidden="1">
      <c r="A165" s="6">
        <v>41390.0</v>
      </c>
      <c r="B165" s="7">
        <v>6.0</v>
      </c>
      <c r="C165" s="1" t="s">
        <v>8</v>
      </c>
      <c r="D165" s="1" t="s">
        <v>9</v>
      </c>
      <c r="E165" s="1" t="s">
        <v>10</v>
      </c>
      <c r="F165" s="1" t="s">
        <v>11</v>
      </c>
      <c r="G165" s="4">
        <v>2.0</v>
      </c>
      <c r="H165" s="9">
        <v>82.75</v>
      </c>
    </row>
    <row r="166" hidden="1">
      <c r="A166" s="6">
        <v>41390.0</v>
      </c>
      <c r="B166" s="7">
        <v>6.0</v>
      </c>
      <c r="C166" s="1" t="s">
        <v>8</v>
      </c>
      <c r="D166" s="1" t="s">
        <v>20</v>
      </c>
      <c r="E166" s="1" t="s">
        <v>17</v>
      </c>
      <c r="F166" s="1" t="s">
        <v>19</v>
      </c>
      <c r="G166" s="4">
        <v>6.0</v>
      </c>
      <c r="H166" s="9">
        <v>307.75</v>
      </c>
    </row>
    <row r="167" hidden="1">
      <c r="A167" s="6">
        <v>41390.0</v>
      </c>
      <c r="B167" s="7">
        <v>6.0</v>
      </c>
      <c r="C167" s="1" t="s">
        <v>14</v>
      </c>
      <c r="D167" s="1" t="s">
        <v>21</v>
      </c>
      <c r="E167" s="1" t="s">
        <v>17</v>
      </c>
      <c r="F167" s="1" t="s">
        <v>11</v>
      </c>
      <c r="G167" s="4">
        <v>4.0</v>
      </c>
      <c r="H167" s="9">
        <v>200.73</v>
      </c>
    </row>
    <row r="168" hidden="1">
      <c r="A168" s="6">
        <v>41391.0</v>
      </c>
      <c r="B168" s="7">
        <v>7.0</v>
      </c>
      <c r="C168" s="1" t="s">
        <v>8</v>
      </c>
      <c r="D168" s="1" t="s">
        <v>21</v>
      </c>
      <c r="E168" s="8" t="s">
        <v>10</v>
      </c>
      <c r="F168" s="1" t="s">
        <v>11</v>
      </c>
      <c r="G168" s="4">
        <v>4.0</v>
      </c>
      <c r="H168" s="9">
        <v>242.06</v>
      </c>
    </row>
    <row r="169" hidden="1">
      <c r="A169" s="6">
        <v>41391.0</v>
      </c>
      <c r="B169" s="7">
        <v>7.0</v>
      </c>
      <c r="C169" s="1" t="s">
        <v>15</v>
      </c>
      <c r="D169" s="1" t="s">
        <v>20</v>
      </c>
      <c r="E169" s="8" t="s">
        <v>10</v>
      </c>
      <c r="F169" s="1" t="s">
        <v>19</v>
      </c>
      <c r="G169" s="4">
        <v>4.0</v>
      </c>
      <c r="H169" s="9">
        <v>215.09</v>
      </c>
    </row>
    <row r="170" hidden="1">
      <c r="A170" s="6">
        <v>41391.0</v>
      </c>
      <c r="B170" s="7">
        <v>7.0</v>
      </c>
      <c r="C170" s="1" t="s">
        <v>15</v>
      </c>
      <c r="D170" s="1" t="s">
        <v>18</v>
      </c>
      <c r="E170" s="1" t="s">
        <v>12</v>
      </c>
      <c r="F170" s="1" t="s">
        <v>19</v>
      </c>
      <c r="G170" s="4">
        <v>3.0</v>
      </c>
      <c r="H170" s="9">
        <v>162.9</v>
      </c>
      <c r="J170" s="9"/>
      <c r="K170" s="9"/>
      <c r="L170" s="9"/>
    </row>
    <row r="171" hidden="1">
      <c r="A171" s="6">
        <v>41392.0</v>
      </c>
      <c r="B171" s="7">
        <v>1.0</v>
      </c>
      <c r="C171" s="1" t="s">
        <v>14</v>
      </c>
      <c r="D171" s="1" t="s">
        <v>9</v>
      </c>
      <c r="E171" s="1" t="s">
        <v>12</v>
      </c>
      <c r="F171" s="1" t="s">
        <v>11</v>
      </c>
      <c r="G171" s="4">
        <v>5.0</v>
      </c>
      <c r="H171" s="9">
        <v>214.31</v>
      </c>
    </row>
    <row r="172" hidden="1">
      <c r="A172" s="6">
        <v>41392.0</v>
      </c>
      <c r="B172" s="7">
        <v>1.0</v>
      </c>
      <c r="C172" s="1" t="s">
        <v>14</v>
      </c>
      <c r="D172" s="1" t="s">
        <v>20</v>
      </c>
      <c r="E172" s="1" t="s">
        <v>12</v>
      </c>
      <c r="F172" s="1" t="s">
        <v>11</v>
      </c>
      <c r="G172" s="4">
        <v>1.0</v>
      </c>
      <c r="H172" s="9">
        <v>42.07</v>
      </c>
    </row>
    <row r="173" hidden="1">
      <c r="A173" s="6">
        <v>41392.0</v>
      </c>
      <c r="B173" s="7">
        <v>1.0</v>
      </c>
      <c r="C173" s="1" t="s">
        <v>15</v>
      </c>
      <c r="D173" s="1" t="s">
        <v>18</v>
      </c>
      <c r="E173" s="8" t="s">
        <v>10</v>
      </c>
      <c r="F173" s="1" t="s">
        <v>19</v>
      </c>
      <c r="G173" s="4">
        <v>2.0</v>
      </c>
      <c r="H173" s="9">
        <v>69.05</v>
      </c>
      <c r="J173" s="9"/>
      <c r="K173" s="9"/>
      <c r="L173" s="9"/>
    </row>
    <row r="174">
      <c r="A174" s="6">
        <v>41392.0</v>
      </c>
      <c r="B174" s="7">
        <v>1.0</v>
      </c>
      <c r="C174" s="1" t="s">
        <v>15</v>
      </c>
      <c r="D174" s="1" t="s">
        <v>18</v>
      </c>
      <c r="E174" s="1" t="s">
        <v>10</v>
      </c>
      <c r="F174" s="1" t="s">
        <v>11</v>
      </c>
      <c r="G174" s="4">
        <v>4.0</v>
      </c>
      <c r="H174" s="9">
        <v>148.9</v>
      </c>
      <c r="L174" s="9"/>
    </row>
    <row r="175" hidden="1">
      <c r="A175" s="6">
        <v>41393.0</v>
      </c>
      <c r="B175" s="7">
        <v>2.0</v>
      </c>
      <c r="C175" s="1" t="s">
        <v>8</v>
      </c>
      <c r="D175" s="1" t="s">
        <v>18</v>
      </c>
      <c r="E175" s="1" t="s">
        <v>10</v>
      </c>
      <c r="F175" s="1" t="s">
        <v>19</v>
      </c>
      <c r="G175" s="4">
        <v>4.0</v>
      </c>
      <c r="H175" s="9">
        <v>105.74</v>
      </c>
      <c r="J175" s="9"/>
      <c r="K175" s="9"/>
      <c r="L175" s="9"/>
    </row>
    <row r="176" hidden="1">
      <c r="A176" s="6">
        <v>41393.0</v>
      </c>
      <c r="B176" s="7">
        <v>2.0</v>
      </c>
      <c r="C176" s="1" t="s">
        <v>8</v>
      </c>
      <c r="D176" s="1" t="s">
        <v>21</v>
      </c>
      <c r="E176" s="8" t="s">
        <v>12</v>
      </c>
      <c r="F176" s="1" t="s">
        <v>19</v>
      </c>
      <c r="G176" s="4">
        <v>3.0</v>
      </c>
      <c r="H176" s="9">
        <v>138.32</v>
      </c>
    </row>
    <row r="177" hidden="1">
      <c r="A177" s="6">
        <v>41393.0</v>
      </c>
      <c r="B177" s="7">
        <v>2.0</v>
      </c>
      <c r="C177" s="1" t="s">
        <v>14</v>
      </c>
      <c r="D177" s="1" t="s">
        <v>9</v>
      </c>
      <c r="E177" s="1" t="s">
        <v>12</v>
      </c>
      <c r="F177" s="1" t="s">
        <v>19</v>
      </c>
      <c r="G177" s="4">
        <v>2.0</v>
      </c>
      <c r="H177" s="9">
        <v>61.71</v>
      </c>
    </row>
    <row r="178" hidden="1">
      <c r="A178" s="6">
        <v>41393.0</v>
      </c>
      <c r="B178" s="7">
        <v>2.0</v>
      </c>
      <c r="C178" s="1" t="s">
        <v>15</v>
      </c>
      <c r="D178" s="1" t="s">
        <v>20</v>
      </c>
      <c r="E178" s="8" t="s">
        <v>10</v>
      </c>
      <c r="F178" s="1" t="s">
        <v>19</v>
      </c>
      <c r="G178" s="4">
        <v>3.0</v>
      </c>
      <c r="H178" s="9">
        <v>120.11</v>
      </c>
    </row>
    <row r="179" hidden="1">
      <c r="A179" s="6">
        <v>41393.0</v>
      </c>
      <c r="B179" s="7">
        <v>2.0</v>
      </c>
      <c r="C179" s="1" t="s">
        <v>15</v>
      </c>
      <c r="D179" s="1" t="s">
        <v>21</v>
      </c>
      <c r="E179" s="1" t="s">
        <v>12</v>
      </c>
      <c r="F179" s="1" t="s">
        <v>19</v>
      </c>
      <c r="G179" s="4">
        <v>1.0</v>
      </c>
      <c r="H179" s="9">
        <v>72.8</v>
      </c>
    </row>
    <row r="180" hidden="1">
      <c r="A180" s="6">
        <v>41393.0</v>
      </c>
      <c r="B180" s="7">
        <v>2.0</v>
      </c>
      <c r="C180" s="1" t="s">
        <v>15</v>
      </c>
      <c r="D180" s="1" t="s">
        <v>21</v>
      </c>
      <c r="E180" s="8" t="s">
        <v>12</v>
      </c>
      <c r="F180" s="1" t="s">
        <v>11</v>
      </c>
      <c r="G180" s="4">
        <v>2.0</v>
      </c>
      <c r="H180" s="9">
        <v>134.86</v>
      </c>
    </row>
    <row r="181" hidden="1">
      <c r="A181" s="6">
        <v>41393.0</v>
      </c>
      <c r="B181" s="7">
        <v>2.0</v>
      </c>
      <c r="C181" s="1" t="s">
        <v>15</v>
      </c>
      <c r="D181" s="1" t="s">
        <v>9</v>
      </c>
      <c r="E181" s="1" t="s">
        <v>10</v>
      </c>
      <c r="F181" s="1" t="s">
        <v>19</v>
      </c>
      <c r="G181" s="4">
        <v>4.0</v>
      </c>
      <c r="H181" s="9">
        <v>89.75</v>
      </c>
    </row>
    <row r="182" hidden="1">
      <c r="A182" s="6">
        <v>41394.0</v>
      </c>
      <c r="B182" s="7">
        <v>3.0</v>
      </c>
      <c r="C182" s="1" t="s">
        <v>8</v>
      </c>
      <c r="D182" s="1" t="s">
        <v>9</v>
      </c>
      <c r="E182" s="1" t="s">
        <v>12</v>
      </c>
      <c r="F182" s="1" t="s">
        <v>11</v>
      </c>
      <c r="G182" s="4">
        <v>4.0</v>
      </c>
      <c r="H182" s="9">
        <v>220.04</v>
      </c>
    </row>
    <row r="183" hidden="1">
      <c r="A183" s="6">
        <v>41394.0</v>
      </c>
      <c r="B183" s="7">
        <v>3.0</v>
      </c>
      <c r="C183" s="1" t="s">
        <v>14</v>
      </c>
      <c r="D183" s="1" t="s">
        <v>20</v>
      </c>
      <c r="E183" s="8" t="s">
        <v>12</v>
      </c>
      <c r="F183" s="1" t="s">
        <v>11</v>
      </c>
      <c r="G183" s="4">
        <v>3.0</v>
      </c>
      <c r="H183" s="9">
        <v>168.39</v>
      </c>
    </row>
    <row r="184" hidden="1">
      <c r="A184" s="6">
        <v>41394.0</v>
      </c>
      <c r="B184" s="7">
        <v>3.0</v>
      </c>
      <c r="C184" s="1" t="s">
        <v>15</v>
      </c>
      <c r="D184" s="1" t="s">
        <v>18</v>
      </c>
      <c r="E184" s="1" t="s">
        <v>12</v>
      </c>
      <c r="F184" s="1" t="s">
        <v>19</v>
      </c>
      <c r="G184" s="4">
        <v>6.0</v>
      </c>
      <c r="H184" s="9">
        <v>277.8</v>
      </c>
      <c r="J184" s="9"/>
      <c r="K184" s="9"/>
      <c r="L184" s="9"/>
    </row>
    <row r="185">
      <c r="A185" s="6">
        <v>41395.0</v>
      </c>
      <c r="B185" s="7">
        <v>4.0</v>
      </c>
      <c r="C185" s="1" t="s">
        <v>14</v>
      </c>
      <c r="D185" s="1" t="s">
        <v>18</v>
      </c>
      <c r="E185" s="1" t="s">
        <v>10</v>
      </c>
      <c r="F185" s="1" t="s">
        <v>11</v>
      </c>
      <c r="G185" s="4">
        <v>3.0</v>
      </c>
      <c r="H185" s="9">
        <v>130.49</v>
      </c>
      <c r="L185" s="9"/>
    </row>
    <row r="186" hidden="1">
      <c r="A186" s="6">
        <v>41396.0</v>
      </c>
      <c r="B186" s="7">
        <v>5.0</v>
      </c>
      <c r="C186" s="1" t="s">
        <v>15</v>
      </c>
      <c r="D186" s="1" t="s">
        <v>18</v>
      </c>
      <c r="E186" s="1" t="s">
        <v>17</v>
      </c>
      <c r="F186" s="1" t="s">
        <v>19</v>
      </c>
      <c r="G186" s="4">
        <v>2.0</v>
      </c>
      <c r="H186" s="9">
        <v>94.39</v>
      </c>
      <c r="J186" s="9"/>
      <c r="K186" s="9"/>
      <c r="L186" s="9"/>
    </row>
    <row r="187" hidden="1">
      <c r="A187" s="6">
        <v>41397.0</v>
      </c>
      <c r="B187" s="7">
        <v>6.0</v>
      </c>
      <c r="C187" s="1" t="s">
        <v>14</v>
      </c>
      <c r="D187" s="1" t="s">
        <v>9</v>
      </c>
      <c r="E187" s="1" t="s">
        <v>12</v>
      </c>
      <c r="F187" s="1" t="s">
        <v>11</v>
      </c>
      <c r="G187" s="4">
        <v>4.0</v>
      </c>
      <c r="H187" s="9">
        <v>120.48</v>
      </c>
    </row>
    <row r="188" hidden="1">
      <c r="A188" s="6">
        <v>41397.0</v>
      </c>
      <c r="B188" s="7">
        <v>6.0</v>
      </c>
      <c r="C188" s="1" t="s">
        <v>14</v>
      </c>
      <c r="D188" s="1" t="s">
        <v>20</v>
      </c>
      <c r="E188" s="1" t="s">
        <v>10</v>
      </c>
      <c r="F188" s="1" t="s">
        <v>11</v>
      </c>
      <c r="G188" s="4">
        <v>6.0</v>
      </c>
      <c r="H188" s="9">
        <v>304.95</v>
      </c>
    </row>
    <row r="189" hidden="1">
      <c r="A189" s="6">
        <v>41398.0</v>
      </c>
      <c r="B189" s="7">
        <v>7.0</v>
      </c>
      <c r="C189" s="1" t="s">
        <v>15</v>
      </c>
      <c r="D189" s="1" t="s">
        <v>9</v>
      </c>
      <c r="E189" s="8" t="s">
        <v>10</v>
      </c>
      <c r="F189" s="1" t="s">
        <v>11</v>
      </c>
      <c r="G189" s="4">
        <v>9.0</v>
      </c>
      <c r="H189" s="9">
        <v>389.79</v>
      </c>
    </row>
    <row r="190">
      <c r="A190" s="6">
        <v>41399.0</v>
      </c>
      <c r="B190" s="7">
        <v>1.0</v>
      </c>
      <c r="C190" s="1" t="s">
        <v>8</v>
      </c>
      <c r="D190" s="1" t="s">
        <v>18</v>
      </c>
      <c r="E190" s="1" t="s">
        <v>10</v>
      </c>
      <c r="F190" s="1" t="s">
        <v>11</v>
      </c>
      <c r="G190" s="4">
        <v>4.0</v>
      </c>
      <c r="H190" s="9">
        <v>161.08</v>
      </c>
      <c r="L190" s="9"/>
    </row>
    <row r="191">
      <c r="A191" s="6">
        <v>41399.0</v>
      </c>
      <c r="B191" s="7">
        <v>1.0</v>
      </c>
      <c r="C191" s="1" t="s">
        <v>14</v>
      </c>
      <c r="D191" s="1" t="s">
        <v>18</v>
      </c>
      <c r="E191" s="1" t="s">
        <v>10</v>
      </c>
      <c r="F191" s="1" t="s">
        <v>11</v>
      </c>
      <c r="G191" s="4">
        <v>2.0</v>
      </c>
      <c r="H191" s="9">
        <v>69.61</v>
      </c>
      <c r="L191" s="9"/>
    </row>
    <row r="192" hidden="1">
      <c r="A192" s="6">
        <v>41400.0</v>
      </c>
      <c r="B192" s="7">
        <v>2.0</v>
      </c>
      <c r="C192" s="1" t="s">
        <v>8</v>
      </c>
      <c r="D192" s="1" t="s">
        <v>9</v>
      </c>
      <c r="E192" s="1" t="s">
        <v>10</v>
      </c>
      <c r="F192" s="1" t="s">
        <v>11</v>
      </c>
      <c r="G192" s="4">
        <v>3.0</v>
      </c>
      <c r="H192" s="9">
        <v>59.99</v>
      </c>
    </row>
    <row r="193" hidden="1">
      <c r="A193" s="6">
        <v>41400.0</v>
      </c>
      <c r="B193" s="7">
        <v>2.0</v>
      </c>
      <c r="C193" s="1" t="s">
        <v>8</v>
      </c>
      <c r="D193" s="1" t="s">
        <v>21</v>
      </c>
      <c r="E193" s="1" t="s">
        <v>12</v>
      </c>
      <c r="F193" s="1" t="s">
        <v>19</v>
      </c>
      <c r="G193" s="4">
        <v>2.0</v>
      </c>
      <c r="H193" s="9">
        <v>120.78</v>
      </c>
    </row>
    <row r="194" hidden="1">
      <c r="A194" s="6">
        <v>41400.0</v>
      </c>
      <c r="B194" s="7">
        <v>2.0</v>
      </c>
      <c r="C194" s="1" t="s">
        <v>8</v>
      </c>
      <c r="D194" s="1" t="s">
        <v>9</v>
      </c>
      <c r="E194" s="1" t="s">
        <v>17</v>
      </c>
      <c r="F194" s="1" t="s">
        <v>11</v>
      </c>
      <c r="G194" s="4">
        <v>3.0</v>
      </c>
      <c r="H194" s="9">
        <v>82.3</v>
      </c>
    </row>
    <row r="195" hidden="1">
      <c r="A195" s="6">
        <v>41400.0</v>
      </c>
      <c r="B195" s="7">
        <v>2.0</v>
      </c>
      <c r="C195" s="1" t="s">
        <v>8</v>
      </c>
      <c r="D195" s="1" t="s">
        <v>20</v>
      </c>
      <c r="E195" s="1" t="s">
        <v>10</v>
      </c>
      <c r="F195" s="1" t="s">
        <v>11</v>
      </c>
      <c r="G195" s="4">
        <v>2.0</v>
      </c>
      <c r="H195" s="9">
        <v>91.88</v>
      </c>
    </row>
    <row r="196" hidden="1">
      <c r="A196" s="6">
        <v>41400.0</v>
      </c>
      <c r="B196" s="7">
        <v>2.0</v>
      </c>
      <c r="C196" s="1" t="s">
        <v>8</v>
      </c>
      <c r="D196" s="1" t="s">
        <v>9</v>
      </c>
      <c r="E196" s="1" t="s">
        <v>12</v>
      </c>
      <c r="F196" s="1" t="s">
        <v>19</v>
      </c>
      <c r="G196" s="4">
        <v>1.0</v>
      </c>
      <c r="H196" s="9">
        <v>87.1</v>
      </c>
    </row>
    <row r="197" hidden="1">
      <c r="A197" s="6">
        <v>41400.0</v>
      </c>
      <c r="B197" s="7">
        <v>2.0</v>
      </c>
      <c r="C197" s="1" t="s">
        <v>14</v>
      </c>
      <c r="D197" s="1" t="s">
        <v>21</v>
      </c>
      <c r="E197" s="1" t="s">
        <v>12</v>
      </c>
      <c r="F197" s="1" t="s">
        <v>11</v>
      </c>
      <c r="G197" s="4">
        <v>2.0</v>
      </c>
      <c r="H197" s="9">
        <v>70.1</v>
      </c>
    </row>
    <row r="198">
      <c r="A198" s="6">
        <v>41400.0</v>
      </c>
      <c r="B198" s="7">
        <v>2.0</v>
      </c>
      <c r="C198" s="1" t="s">
        <v>14</v>
      </c>
      <c r="D198" s="1" t="s">
        <v>18</v>
      </c>
      <c r="E198" s="1" t="s">
        <v>17</v>
      </c>
      <c r="F198" s="1" t="s">
        <v>11</v>
      </c>
      <c r="G198" s="4">
        <v>2.0</v>
      </c>
      <c r="H198" s="9">
        <v>106.67</v>
      </c>
      <c r="L198" s="9"/>
    </row>
    <row r="199" hidden="1">
      <c r="A199" s="6">
        <v>41400.0</v>
      </c>
      <c r="B199" s="7">
        <v>2.0</v>
      </c>
      <c r="C199" s="1" t="s">
        <v>15</v>
      </c>
      <c r="D199" s="1" t="s">
        <v>18</v>
      </c>
      <c r="E199" s="8" t="s">
        <v>12</v>
      </c>
      <c r="F199" s="1" t="s">
        <v>19</v>
      </c>
      <c r="G199" s="4">
        <v>1.0</v>
      </c>
      <c r="H199" s="9">
        <v>34.31</v>
      </c>
      <c r="J199" s="9"/>
      <c r="K199" s="9"/>
      <c r="L199" s="9"/>
    </row>
    <row r="200" hidden="1">
      <c r="A200" s="6">
        <v>41400.0</v>
      </c>
      <c r="B200" s="7">
        <v>2.0</v>
      </c>
      <c r="C200" s="1" t="s">
        <v>15</v>
      </c>
      <c r="D200" s="1" t="s">
        <v>9</v>
      </c>
      <c r="E200" s="1" t="s">
        <v>10</v>
      </c>
      <c r="F200" s="1" t="s">
        <v>19</v>
      </c>
      <c r="G200" s="4">
        <v>3.0</v>
      </c>
      <c r="H200" s="9">
        <v>77.69</v>
      </c>
    </row>
    <row r="201" hidden="1">
      <c r="A201" s="6">
        <v>41400.0</v>
      </c>
      <c r="B201" s="7">
        <v>2.0</v>
      </c>
      <c r="C201" s="1" t="s">
        <v>15</v>
      </c>
      <c r="D201" s="1" t="s">
        <v>9</v>
      </c>
      <c r="E201" s="1" t="s">
        <v>12</v>
      </c>
      <c r="F201" s="1" t="s">
        <v>11</v>
      </c>
      <c r="G201" s="4">
        <v>2.0</v>
      </c>
      <c r="H201" s="9">
        <v>85.31</v>
      </c>
    </row>
    <row r="202">
      <c r="A202" s="6">
        <v>41401.0</v>
      </c>
      <c r="B202" s="7">
        <v>3.0</v>
      </c>
      <c r="C202" s="1" t="s">
        <v>15</v>
      </c>
      <c r="D202" s="1" t="s">
        <v>18</v>
      </c>
      <c r="E202" s="8" t="s">
        <v>12</v>
      </c>
      <c r="F202" s="1" t="s">
        <v>11</v>
      </c>
      <c r="G202" s="4">
        <v>1.0</v>
      </c>
      <c r="H202" s="9">
        <v>65.92</v>
      </c>
      <c r="L202" s="9"/>
    </row>
    <row r="203" hidden="1">
      <c r="A203" s="6">
        <v>41401.0</v>
      </c>
      <c r="B203" s="7">
        <v>3.0</v>
      </c>
      <c r="C203" s="1" t="s">
        <v>15</v>
      </c>
      <c r="D203" s="1" t="s">
        <v>21</v>
      </c>
      <c r="E203" s="1" t="s">
        <v>17</v>
      </c>
      <c r="F203" s="1" t="s">
        <v>11</v>
      </c>
      <c r="G203" s="4">
        <v>1.0</v>
      </c>
      <c r="H203" s="9">
        <v>89.98</v>
      </c>
    </row>
    <row r="204" hidden="1">
      <c r="A204" s="6">
        <v>41402.0</v>
      </c>
      <c r="B204" s="7">
        <v>4.0</v>
      </c>
      <c r="C204" s="1" t="s">
        <v>8</v>
      </c>
      <c r="D204" s="1" t="s">
        <v>9</v>
      </c>
      <c r="E204" s="1" t="s">
        <v>10</v>
      </c>
      <c r="F204" s="1" t="s">
        <v>11</v>
      </c>
      <c r="G204" s="4">
        <v>3.0</v>
      </c>
      <c r="H204" s="9">
        <v>102.07</v>
      </c>
    </row>
    <row r="205" hidden="1">
      <c r="A205" s="6">
        <v>41402.0</v>
      </c>
      <c r="B205" s="7">
        <v>4.0</v>
      </c>
      <c r="C205" s="1" t="s">
        <v>14</v>
      </c>
      <c r="D205" s="1" t="s">
        <v>20</v>
      </c>
      <c r="E205" s="1" t="s">
        <v>10</v>
      </c>
      <c r="F205" s="1" t="s">
        <v>11</v>
      </c>
      <c r="G205" s="4">
        <v>4.0</v>
      </c>
      <c r="H205" s="9">
        <v>199.83</v>
      </c>
    </row>
    <row r="206" hidden="1">
      <c r="A206" s="6">
        <v>41402.0</v>
      </c>
      <c r="B206" s="7">
        <v>4.0</v>
      </c>
      <c r="C206" s="1" t="s">
        <v>15</v>
      </c>
      <c r="D206" s="1" t="s">
        <v>20</v>
      </c>
      <c r="E206" s="1" t="s">
        <v>17</v>
      </c>
      <c r="F206" s="1" t="s">
        <v>19</v>
      </c>
      <c r="G206" s="4">
        <v>3.0</v>
      </c>
      <c r="H206" s="9">
        <v>134.21</v>
      </c>
    </row>
    <row r="207" hidden="1">
      <c r="A207" s="6">
        <v>41402.0</v>
      </c>
      <c r="B207" s="7">
        <v>4.0</v>
      </c>
      <c r="C207" s="1" t="s">
        <v>15</v>
      </c>
      <c r="D207" s="1" t="s">
        <v>20</v>
      </c>
      <c r="E207" s="1" t="s">
        <v>12</v>
      </c>
      <c r="F207" s="1" t="s">
        <v>19</v>
      </c>
      <c r="G207" s="4">
        <v>4.0</v>
      </c>
      <c r="H207" s="9">
        <v>188.41</v>
      </c>
    </row>
    <row r="208" hidden="1">
      <c r="A208" s="6">
        <v>41402.0</v>
      </c>
      <c r="B208" s="7">
        <v>4.0</v>
      </c>
      <c r="C208" s="1" t="s">
        <v>15</v>
      </c>
      <c r="D208" s="1" t="s">
        <v>9</v>
      </c>
      <c r="E208" s="1" t="s">
        <v>10</v>
      </c>
      <c r="F208" s="1" t="s">
        <v>19</v>
      </c>
      <c r="G208" s="4">
        <v>4.0</v>
      </c>
      <c r="H208" s="9">
        <v>102.72</v>
      </c>
    </row>
    <row r="209" hidden="1">
      <c r="A209" s="6">
        <v>41402.0</v>
      </c>
      <c r="B209" s="7">
        <v>4.0</v>
      </c>
      <c r="C209" s="1" t="s">
        <v>15</v>
      </c>
      <c r="D209" s="1" t="s">
        <v>9</v>
      </c>
      <c r="E209" s="1" t="s">
        <v>12</v>
      </c>
      <c r="F209" s="1" t="s">
        <v>19</v>
      </c>
      <c r="G209" s="4">
        <v>2.0</v>
      </c>
      <c r="H209" s="9">
        <v>85.63</v>
      </c>
    </row>
    <row r="210" hidden="1">
      <c r="A210" s="6">
        <v>41403.0</v>
      </c>
      <c r="B210" s="7">
        <v>5.0</v>
      </c>
      <c r="C210" s="1" t="s">
        <v>8</v>
      </c>
      <c r="D210" s="1" t="s">
        <v>9</v>
      </c>
      <c r="E210" s="1" t="s">
        <v>17</v>
      </c>
      <c r="F210" s="1" t="s">
        <v>19</v>
      </c>
      <c r="G210" s="4">
        <v>4.0</v>
      </c>
      <c r="H210" s="9">
        <v>206.87</v>
      </c>
    </row>
    <row r="211" hidden="1">
      <c r="A211" s="6">
        <v>41403.0</v>
      </c>
      <c r="B211" s="7">
        <v>5.0</v>
      </c>
      <c r="C211" s="1" t="s">
        <v>14</v>
      </c>
      <c r="D211" s="1" t="s">
        <v>20</v>
      </c>
      <c r="E211" s="1" t="s">
        <v>12</v>
      </c>
      <c r="F211" s="1" t="s">
        <v>11</v>
      </c>
      <c r="G211" s="4">
        <v>2.0</v>
      </c>
      <c r="H211" s="9">
        <v>141.22</v>
      </c>
    </row>
    <row r="212" hidden="1">
      <c r="A212" s="6">
        <v>41403.0</v>
      </c>
      <c r="B212" s="7">
        <v>5.0</v>
      </c>
      <c r="C212" s="1" t="s">
        <v>15</v>
      </c>
      <c r="D212" s="1" t="s">
        <v>9</v>
      </c>
      <c r="E212" s="1" t="s">
        <v>10</v>
      </c>
      <c r="F212" s="1" t="s">
        <v>19</v>
      </c>
      <c r="G212" s="4">
        <v>10.0</v>
      </c>
      <c r="H212" s="9">
        <v>463.4</v>
      </c>
    </row>
    <row r="213" hidden="1">
      <c r="A213" s="6">
        <v>41403.0</v>
      </c>
      <c r="B213" s="7">
        <v>5.0</v>
      </c>
      <c r="C213" s="1" t="s">
        <v>15</v>
      </c>
      <c r="D213" s="1" t="s">
        <v>20</v>
      </c>
      <c r="E213" s="1" t="s">
        <v>12</v>
      </c>
      <c r="F213" s="1" t="s">
        <v>11</v>
      </c>
      <c r="G213" s="4">
        <v>5.0</v>
      </c>
      <c r="H213" s="9">
        <v>166.54</v>
      </c>
    </row>
    <row r="214" hidden="1">
      <c r="A214" s="6">
        <v>41404.0</v>
      </c>
      <c r="B214" s="7">
        <v>6.0</v>
      </c>
      <c r="C214" s="1" t="s">
        <v>8</v>
      </c>
      <c r="D214" s="1" t="s">
        <v>21</v>
      </c>
      <c r="E214" s="1" t="s">
        <v>12</v>
      </c>
      <c r="F214" s="1" t="s">
        <v>11</v>
      </c>
      <c r="G214" s="4">
        <v>6.0</v>
      </c>
      <c r="H214" s="9">
        <v>260.62</v>
      </c>
    </row>
    <row r="215" hidden="1">
      <c r="A215" s="6">
        <v>41404.0</v>
      </c>
      <c r="B215" s="7">
        <v>6.0</v>
      </c>
      <c r="C215" s="1" t="s">
        <v>14</v>
      </c>
      <c r="D215" s="1" t="s">
        <v>21</v>
      </c>
      <c r="E215" s="1" t="s">
        <v>10</v>
      </c>
      <c r="F215" s="1" t="s">
        <v>11</v>
      </c>
      <c r="G215" s="4">
        <v>1.0</v>
      </c>
      <c r="H215" s="9">
        <v>79.16</v>
      </c>
    </row>
    <row r="216" hidden="1">
      <c r="A216" s="6">
        <v>41405.0</v>
      </c>
      <c r="B216" s="7">
        <v>7.0</v>
      </c>
      <c r="C216" s="1" t="s">
        <v>14</v>
      </c>
      <c r="D216" s="1" t="s">
        <v>9</v>
      </c>
      <c r="E216" s="8" t="s">
        <v>12</v>
      </c>
      <c r="F216" s="1" t="s">
        <v>11</v>
      </c>
      <c r="G216" s="4">
        <v>6.0</v>
      </c>
      <c r="H216" s="9">
        <v>320.4</v>
      </c>
    </row>
    <row r="217" hidden="1">
      <c r="A217" s="6">
        <v>41405.0</v>
      </c>
      <c r="B217" s="7">
        <v>7.0</v>
      </c>
      <c r="C217" s="1" t="s">
        <v>15</v>
      </c>
      <c r="D217" s="1" t="s">
        <v>21</v>
      </c>
      <c r="E217" s="1" t="s">
        <v>17</v>
      </c>
      <c r="F217" s="1" t="s">
        <v>19</v>
      </c>
      <c r="G217" s="4">
        <v>2.0</v>
      </c>
      <c r="H217" s="9">
        <v>79.01</v>
      </c>
    </row>
    <row r="218" hidden="1">
      <c r="A218" s="6">
        <v>41406.0</v>
      </c>
      <c r="B218" s="7">
        <v>1.0</v>
      </c>
      <c r="C218" s="1" t="s">
        <v>8</v>
      </c>
      <c r="D218" s="1" t="s">
        <v>9</v>
      </c>
      <c r="E218" s="8" t="s">
        <v>12</v>
      </c>
      <c r="F218" s="1" t="s">
        <v>11</v>
      </c>
      <c r="G218" s="4">
        <v>2.0</v>
      </c>
      <c r="H218" s="9">
        <v>126.22</v>
      </c>
    </row>
    <row r="219" hidden="1">
      <c r="A219" s="6">
        <v>41406.0</v>
      </c>
      <c r="B219" s="7">
        <v>1.0</v>
      </c>
      <c r="C219" s="1" t="s">
        <v>15</v>
      </c>
      <c r="D219" s="1" t="s">
        <v>18</v>
      </c>
      <c r="E219" s="1" t="s">
        <v>10</v>
      </c>
      <c r="F219" s="1" t="s">
        <v>19</v>
      </c>
      <c r="G219" s="4">
        <v>5.0</v>
      </c>
      <c r="H219" s="9">
        <v>263.45</v>
      </c>
      <c r="J219" s="9"/>
      <c r="K219" s="9"/>
      <c r="L219" s="9"/>
    </row>
    <row r="220" hidden="1">
      <c r="A220" s="6">
        <v>41407.0</v>
      </c>
      <c r="B220" s="7">
        <v>2.0</v>
      </c>
      <c r="C220" s="1" t="s">
        <v>8</v>
      </c>
      <c r="D220" s="1" t="s">
        <v>20</v>
      </c>
      <c r="E220" s="1" t="s">
        <v>17</v>
      </c>
      <c r="F220" s="1" t="s">
        <v>19</v>
      </c>
      <c r="G220" s="4">
        <v>3.0</v>
      </c>
      <c r="H220" s="9">
        <v>135.86</v>
      </c>
    </row>
    <row r="221" hidden="1">
      <c r="A221" s="6">
        <v>41407.0</v>
      </c>
      <c r="B221" s="7">
        <v>2.0</v>
      </c>
      <c r="C221" s="1" t="s">
        <v>14</v>
      </c>
      <c r="D221" s="1" t="s">
        <v>9</v>
      </c>
      <c r="E221" s="8" t="s">
        <v>10</v>
      </c>
      <c r="F221" s="1" t="s">
        <v>19</v>
      </c>
      <c r="G221" s="4">
        <v>1.0</v>
      </c>
      <c r="H221" s="9">
        <v>98.74</v>
      </c>
    </row>
    <row r="222" hidden="1">
      <c r="A222" s="6">
        <v>41407.0</v>
      </c>
      <c r="B222" s="7">
        <v>2.0</v>
      </c>
      <c r="C222" s="1" t="s">
        <v>15</v>
      </c>
      <c r="D222" s="1" t="s">
        <v>20</v>
      </c>
      <c r="E222" s="8" t="s">
        <v>12</v>
      </c>
      <c r="F222" s="1" t="s">
        <v>11</v>
      </c>
      <c r="G222" s="4">
        <v>1.0</v>
      </c>
      <c r="H222" s="9">
        <v>101.05</v>
      </c>
    </row>
    <row r="223" hidden="1">
      <c r="A223" s="6">
        <v>41407.0</v>
      </c>
      <c r="B223" s="7">
        <v>2.0</v>
      </c>
      <c r="C223" s="1" t="s">
        <v>15</v>
      </c>
      <c r="D223" s="1" t="s">
        <v>18</v>
      </c>
      <c r="E223" s="8" t="s">
        <v>17</v>
      </c>
      <c r="F223" s="1" t="s">
        <v>19</v>
      </c>
      <c r="G223" s="4">
        <v>7.0</v>
      </c>
      <c r="H223" s="9">
        <v>361.6</v>
      </c>
      <c r="J223" s="9"/>
      <c r="K223" s="9"/>
      <c r="L223" s="9"/>
    </row>
    <row r="224">
      <c r="A224" s="6">
        <v>41408.0</v>
      </c>
      <c r="B224" s="7">
        <v>3.0</v>
      </c>
      <c r="C224" s="1" t="s">
        <v>15</v>
      </c>
      <c r="D224" s="1" t="s">
        <v>18</v>
      </c>
      <c r="E224" s="1" t="s">
        <v>10</v>
      </c>
      <c r="F224" s="1" t="s">
        <v>11</v>
      </c>
      <c r="G224" s="4">
        <v>3.0</v>
      </c>
      <c r="H224" s="9">
        <v>120.56</v>
      </c>
      <c r="L224" s="9"/>
    </row>
    <row r="225" hidden="1">
      <c r="A225" s="6">
        <v>41409.0</v>
      </c>
      <c r="B225" s="7">
        <v>4.0</v>
      </c>
      <c r="C225" s="1" t="s">
        <v>8</v>
      </c>
      <c r="D225" s="1" t="s">
        <v>9</v>
      </c>
      <c r="E225" s="1" t="s">
        <v>12</v>
      </c>
      <c r="F225" s="1" t="s">
        <v>11</v>
      </c>
      <c r="G225" s="4">
        <v>1.0</v>
      </c>
      <c r="H225" s="9">
        <v>52.68</v>
      </c>
    </row>
    <row r="226">
      <c r="A226" s="6">
        <v>41409.0</v>
      </c>
      <c r="B226" s="7">
        <v>4.0</v>
      </c>
      <c r="C226" s="1" t="s">
        <v>8</v>
      </c>
      <c r="D226" s="1" t="s">
        <v>18</v>
      </c>
      <c r="E226" s="1" t="s">
        <v>10</v>
      </c>
      <c r="F226" s="1" t="s">
        <v>11</v>
      </c>
      <c r="G226" s="4">
        <v>3.0</v>
      </c>
      <c r="H226" s="9">
        <v>99.51</v>
      </c>
      <c r="L226" s="9"/>
    </row>
    <row r="227" hidden="1">
      <c r="A227" s="6">
        <v>41409.0</v>
      </c>
      <c r="B227" s="7">
        <v>4.0</v>
      </c>
      <c r="C227" s="1" t="s">
        <v>14</v>
      </c>
      <c r="D227" s="1" t="s">
        <v>20</v>
      </c>
      <c r="E227" s="1" t="s">
        <v>10</v>
      </c>
      <c r="F227" s="1" t="s">
        <v>11</v>
      </c>
      <c r="G227" s="4">
        <v>1.0</v>
      </c>
      <c r="H227" s="9">
        <v>85.29</v>
      </c>
    </row>
    <row r="228">
      <c r="A228" s="6">
        <v>41409.0</v>
      </c>
      <c r="B228" s="7">
        <v>4.0</v>
      </c>
      <c r="C228" s="1" t="s">
        <v>14</v>
      </c>
      <c r="D228" s="1" t="s">
        <v>18</v>
      </c>
      <c r="E228" s="1" t="s">
        <v>12</v>
      </c>
      <c r="F228" s="1" t="s">
        <v>11</v>
      </c>
      <c r="G228" s="4">
        <v>3.0</v>
      </c>
      <c r="H228" s="9">
        <v>143.59</v>
      </c>
      <c r="L228" s="9"/>
    </row>
    <row r="229" hidden="1">
      <c r="A229" s="6">
        <v>41409.0</v>
      </c>
      <c r="B229" s="7">
        <v>4.0</v>
      </c>
      <c r="C229" s="1" t="s">
        <v>14</v>
      </c>
      <c r="D229" s="1" t="s">
        <v>20</v>
      </c>
      <c r="E229" s="8" t="s">
        <v>12</v>
      </c>
      <c r="F229" s="1" t="s">
        <v>11</v>
      </c>
      <c r="G229" s="4">
        <v>3.0</v>
      </c>
      <c r="H229" s="9">
        <v>197.13</v>
      </c>
    </row>
    <row r="230" hidden="1">
      <c r="A230" s="6">
        <v>41409.0</v>
      </c>
      <c r="B230" s="7">
        <v>4.0</v>
      </c>
      <c r="C230" s="1" t="s">
        <v>14</v>
      </c>
      <c r="D230" s="1" t="s">
        <v>20</v>
      </c>
      <c r="E230" s="1" t="s">
        <v>10</v>
      </c>
      <c r="F230" s="1" t="s">
        <v>11</v>
      </c>
      <c r="G230" s="4">
        <v>3.0</v>
      </c>
      <c r="H230" s="9">
        <v>190.74</v>
      </c>
    </row>
    <row r="231" hidden="1">
      <c r="A231" s="6">
        <v>41409.0</v>
      </c>
      <c r="B231" s="7">
        <v>4.0</v>
      </c>
      <c r="C231" s="1" t="s">
        <v>15</v>
      </c>
      <c r="D231" s="1" t="s">
        <v>9</v>
      </c>
      <c r="E231" s="1" t="s">
        <v>10</v>
      </c>
      <c r="F231" s="1" t="s">
        <v>19</v>
      </c>
      <c r="G231" s="4">
        <v>3.0</v>
      </c>
      <c r="H231" s="9">
        <v>111.44</v>
      </c>
    </row>
    <row r="232" hidden="1">
      <c r="A232" s="6">
        <v>41410.0</v>
      </c>
      <c r="B232" s="7">
        <v>5.0</v>
      </c>
      <c r="C232" s="1" t="s">
        <v>8</v>
      </c>
      <c r="D232" s="1" t="s">
        <v>9</v>
      </c>
      <c r="E232" s="1" t="s">
        <v>10</v>
      </c>
      <c r="F232" s="1" t="s">
        <v>19</v>
      </c>
      <c r="G232" s="4">
        <v>3.0</v>
      </c>
      <c r="H232" s="9">
        <v>153.39</v>
      </c>
    </row>
    <row r="233" hidden="1">
      <c r="A233" s="6">
        <v>41410.0</v>
      </c>
      <c r="B233" s="7">
        <v>5.0</v>
      </c>
      <c r="C233" s="1" t="s">
        <v>14</v>
      </c>
      <c r="D233" s="1" t="s">
        <v>21</v>
      </c>
      <c r="E233" s="1" t="s">
        <v>12</v>
      </c>
      <c r="F233" s="1" t="s">
        <v>11</v>
      </c>
      <c r="G233" s="4">
        <v>2.0</v>
      </c>
      <c r="H233" s="9">
        <v>65.4</v>
      </c>
    </row>
    <row r="234">
      <c r="A234" s="6">
        <v>41410.0</v>
      </c>
      <c r="B234" s="7">
        <v>5.0</v>
      </c>
      <c r="C234" s="1" t="s">
        <v>15</v>
      </c>
      <c r="D234" s="1" t="s">
        <v>18</v>
      </c>
      <c r="E234" s="8" t="s">
        <v>12</v>
      </c>
      <c r="F234" s="1" t="s">
        <v>11</v>
      </c>
      <c r="G234" s="4">
        <v>9.0</v>
      </c>
      <c r="H234" s="9">
        <v>448.2</v>
      </c>
      <c r="L234" s="9"/>
    </row>
    <row r="235" hidden="1">
      <c r="A235" s="6">
        <v>41410.0</v>
      </c>
      <c r="B235" s="7">
        <v>5.0</v>
      </c>
      <c r="C235" s="1" t="s">
        <v>15</v>
      </c>
      <c r="D235" s="1" t="s">
        <v>20</v>
      </c>
      <c r="E235" s="8" t="s">
        <v>12</v>
      </c>
      <c r="F235" s="1" t="s">
        <v>19</v>
      </c>
      <c r="G235" s="4">
        <v>2.0</v>
      </c>
      <c r="H235" s="9">
        <v>123.19</v>
      </c>
    </row>
    <row r="236" hidden="1">
      <c r="A236" s="6">
        <v>41411.0</v>
      </c>
      <c r="B236" s="7">
        <v>6.0</v>
      </c>
      <c r="C236" s="1" t="s">
        <v>8</v>
      </c>
      <c r="D236" s="1" t="s">
        <v>20</v>
      </c>
      <c r="E236" s="8" t="s">
        <v>12</v>
      </c>
      <c r="F236" s="1" t="s">
        <v>11</v>
      </c>
      <c r="G236" s="4">
        <v>5.0</v>
      </c>
      <c r="H236" s="9">
        <v>210.28</v>
      </c>
    </row>
    <row r="237">
      <c r="A237" s="6">
        <v>41411.0</v>
      </c>
      <c r="B237" s="7">
        <v>6.0</v>
      </c>
      <c r="C237" s="1" t="s">
        <v>8</v>
      </c>
      <c r="D237" s="1" t="s">
        <v>18</v>
      </c>
      <c r="E237" s="1" t="s">
        <v>12</v>
      </c>
      <c r="F237" s="1" t="s">
        <v>11</v>
      </c>
      <c r="G237" s="4">
        <v>7.0</v>
      </c>
      <c r="H237" s="9">
        <v>349.46</v>
      </c>
      <c r="L237" s="9"/>
    </row>
    <row r="238" hidden="1">
      <c r="A238" s="6">
        <v>41411.0</v>
      </c>
      <c r="B238" s="7">
        <v>6.0</v>
      </c>
      <c r="C238" s="1" t="s">
        <v>15</v>
      </c>
      <c r="D238" s="1" t="s">
        <v>20</v>
      </c>
      <c r="E238" s="8" t="s">
        <v>10</v>
      </c>
      <c r="F238" s="1" t="s">
        <v>19</v>
      </c>
      <c r="G238" s="4">
        <v>4.0</v>
      </c>
      <c r="H238" s="9">
        <v>290.63</v>
      </c>
    </row>
    <row r="239" hidden="1">
      <c r="A239" s="6">
        <v>41411.0</v>
      </c>
      <c r="B239" s="7">
        <v>6.0</v>
      </c>
      <c r="C239" s="1" t="s">
        <v>15</v>
      </c>
      <c r="D239" s="1" t="s">
        <v>21</v>
      </c>
      <c r="E239" s="1" t="s">
        <v>12</v>
      </c>
      <c r="F239" s="1" t="s">
        <v>11</v>
      </c>
      <c r="G239" s="4">
        <v>3.0</v>
      </c>
      <c r="H239" s="9">
        <v>103.03</v>
      </c>
    </row>
    <row r="240" hidden="1">
      <c r="A240" s="6">
        <v>41412.0</v>
      </c>
      <c r="B240" s="7">
        <v>7.0</v>
      </c>
      <c r="C240" s="1" t="s">
        <v>8</v>
      </c>
      <c r="D240" s="1" t="s">
        <v>20</v>
      </c>
      <c r="E240" s="1" t="s">
        <v>12</v>
      </c>
      <c r="F240" s="1" t="s">
        <v>19</v>
      </c>
      <c r="G240" s="4">
        <v>2.0</v>
      </c>
      <c r="H240" s="9">
        <v>112.54</v>
      </c>
    </row>
    <row r="241" hidden="1">
      <c r="A241" s="6">
        <v>41412.0</v>
      </c>
      <c r="B241" s="7">
        <v>7.0</v>
      </c>
      <c r="C241" s="1" t="s">
        <v>14</v>
      </c>
      <c r="D241" s="1" t="s">
        <v>21</v>
      </c>
      <c r="E241" s="8" t="s">
        <v>10</v>
      </c>
      <c r="F241" s="1" t="s">
        <v>19</v>
      </c>
      <c r="G241" s="4">
        <v>8.0</v>
      </c>
      <c r="H241" s="9">
        <v>399.36</v>
      </c>
    </row>
    <row r="242" hidden="1">
      <c r="A242" s="6">
        <v>41412.0</v>
      </c>
      <c r="B242" s="7">
        <v>7.0</v>
      </c>
      <c r="C242" s="1" t="s">
        <v>15</v>
      </c>
      <c r="D242" s="1" t="s">
        <v>20</v>
      </c>
      <c r="E242" s="1" t="s">
        <v>10</v>
      </c>
      <c r="F242" s="1" t="s">
        <v>19</v>
      </c>
      <c r="G242" s="4">
        <v>2.0</v>
      </c>
      <c r="H242" s="9">
        <v>68.18</v>
      </c>
    </row>
    <row r="243" hidden="1">
      <c r="A243" s="6">
        <v>41413.0</v>
      </c>
      <c r="B243" s="7">
        <v>1.0</v>
      </c>
      <c r="C243" s="1" t="s">
        <v>8</v>
      </c>
      <c r="D243" s="1" t="s">
        <v>21</v>
      </c>
      <c r="E243" s="1" t="s">
        <v>12</v>
      </c>
      <c r="F243" s="1" t="s">
        <v>19</v>
      </c>
      <c r="G243" s="4">
        <v>3.0</v>
      </c>
      <c r="H243" s="9">
        <v>146.58</v>
      </c>
    </row>
    <row r="244" hidden="1">
      <c r="A244" s="6">
        <v>41413.0</v>
      </c>
      <c r="B244" s="7">
        <v>1.0</v>
      </c>
      <c r="C244" s="1" t="s">
        <v>8</v>
      </c>
      <c r="D244" s="1" t="s">
        <v>21</v>
      </c>
      <c r="E244" s="8" t="s">
        <v>17</v>
      </c>
      <c r="F244" s="1" t="s">
        <v>11</v>
      </c>
      <c r="G244" s="4">
        <v>6.0</v>
      </c>
      <c r="H244" s="9">
        <v>309.5</v>
      </c>
    </row>
    <row r="245" hidden="1">
      <c r="A245" s="6">
        <v>41413.0</v>
      </c>
      <c r="B245" s="7">
        <v>1.0</v>
      </c>
      <c r="C245" s="1" t="s">
        <v>8</v>
      </c>
      <c r="D245" s="1" t="s">
        <v>9</v>
      </c>
      <c r="E245" s="1" t="s">
        <v>12</v>
      </c>
      <c r="F245" s="1" t="s">
        <v>19</v>
      </c>
      <c r="G245" s="4">
        <v>5.0</v>
      </c>
      <c r="H245" s="9">
        <v>177.96</v>
      </c>
    </row>
    <row r="246" hidden="1">
      <c r="A246" s="6">
        <v>41413.0</v>
      </c>
      <c r="B246" s="7">
        <v>1.0</v>
      </c>
      <c r="C246" s="1" t="s">
        <v>8</v>
      </c>
      <c r="D246" s="1" t="s">
        <v>20</v>
      </c>
      <c r="E246" s="8" t="s">
        <v>12</v>
      </c>
      <c r="F246" s="1" t="s">
        <v>19</v>
      </c>
      <c r="G246" s="4">
        <v>2.0</v>
      </c>
      <c r="H246" s="9">
        <v>119.46</v>
      </c>
    </row>
    <row r="247" hidden="1">
      <c r="A247" s="6">
        <v>41413.0</v>
      </c>
      <c r="B247" s="7">
        <v>1.0</v>
      </c>
      <c r="C247" s="1" t="s">
        <v>14</v>
      </c>
      <c r="D247" s="1" t="s">
        <v>9</v>
      </c>
      <c r="E247" s="1" t="s">
        <v>17</v>
      </c>
      <c r="F247" s="1" t="s">
        <v>11</v>
      </c>
      <c r="G247" s="4">
        <v>3.0</v>
      </c>
      <c r="H247" s="9">
        <v>119.66</v>
      </c>
    </row>
    <row r="248" hidden="1">
      <c r="A248" s="6">
        <v>41413.0</v>
      </c>
      <c r="B248" s="7">
        <v>1.0</v>
      </c>
      <c r="C248" s="1" t="s">
        <v>14</v>
      </c>
      <c r="D248" s="1" t="s">
        <v>21</v>
      </c>
      <c r="E248" s="1" t="s">
        <v>17</v>
      </c>
      <c r="F248" s="1" t="s">
        <v>11</v>
      </c>
      <c r="G248" s="4">
        <v>4.0</v>
      </c>
      <c r="H248" s="9">
        <v>168.87</v>
      </c>
    </row>
    <row r="249" hidden="1">
      <c r="A249" s="6">
        <v>41413.0</v>
      </c>
      <c r="B249" s="7">
        <v>1.0</v>
      </c>
      <c r="C249" s="1" t="s">
        <v>14</v>
      </c>
      <c r="D249" s="1" t="s">
        <v>20</v>
      </c>
      <c r="E249" s="1" t="s">
        <v>17</v>
      </c>
      <c r="F249" s="1" t="s">
        <v>11</v>
      </c>
      <c r="G249" s="4">
        <v>4.0</v>
      </c>
      <c r="H249" s="9">
        <v>192.39</v>
      </c>
    </row>
    <row r="250" hidden="1">
      <c r="A250" s="6">
        <v>41413.0</v>
      </c>
      <c r="B250" s="7">
        <v>1.0</v>
      </c>
      <c r="C250" s="1" t="s">
        <v>14</v>
      </c>
      <c r="D250" s="1" t="s">
        <v>20</v>
      </c>
      <c r="E250" s="1" t="s">
        <v>10</v>
      </c>
      <c r="F250" s="1" t="s">
        <v>11</v>
      </c>
      <c r="G250" s="4">
        <v>2.0</v>
      </c>
      <c r="H250" s="9">
        <v>101.73</v>
      </c>
    </row>
    <row r="251" hidden="1">
      <c r="A251" s="6">
        <v>41413.0</v>
      </c>
      <c r="B251" s="7">
        <v>1.0</v>
      </c>
      <c r="C251" s="1" t="s">
        <v>14</v>
      </c>
      <c r="D251" s="1" t="s">
        <v>18</v>
      </c>
      <c r="E251" s="1" t="s">
        <v>12</v>
      </c>
      <c r="F251" s="1" t="s">
        <v>19</v>
      </c>
      <c r="G251" s="4">
        <v>2.0</v>
      </c>
      <c r="H251" s="9">
        <v>74.94</v>
      </c>
      <c r="J251" s="9"/>
      <c r="K251" s="9"/>
      <c r="L251" s="9"/>
    </row>
    <row r="252" hidden="1">
      <c r="A252" s="6">
        <v>41413.0</v>
      </c>
      <c r="B252" s="7">
        <v>1.0</v>
      </c>
      <c r="C252" s="1" t="s">
        <v>15</v>
      </c>
      <c r="D252" s="1" t="s">
        <v>21</v>
      </c>
      <c r="E252" s="1" t="s">
        <v>17</v>
      </c>
      <c r="F252" s="1" t="s">
        <v>11</v>
      </c>
      <c r="G252" s="4">
        <v>8.0</v>
      </c>
      <c r="H252" s="9">
        <v>291.3</v>
      </c>
    </row>
    <row r="253" hidden="1">
      <c r="A253" s="6">
        <v>41414.0</v>
      </c>
      <c r="B253" s="7">
        <v>2.0</v>
      </c>
      <c r="C253" s="1" t="s">
        <v>14</v>
      </c>
      <c r="D253" s="1" t="s">
        <v>9</v>
      </c>
      <c r="E253" s="8" t="s">
        <v>17</v>
      </c>
      <c r="F253" s="1" t="s">
        <v>11</v>
      </c>
      <c r="G253" s="4">
        <v>3.0</v>
      </c>
      <c r="H253" s="9">
        <v>161.0</v>
      </c>
    </row>
    <row r="254" hidden="1">
      <c r="A254" s="6">
        <v>41415.0</v>
      </c>
      <c r="B254" s="7">
        <v>3.0</v>
      </c>
      <c r="C254" s="1" t="s">
        <v>14</v>
      </c>
      <c r="D254" s="1" t="s">
        <v>9</v>
      </c>
      <c r="E254" s="1" t="s">
        <v>10</v>
      </c>
      <c r="F254" s="1" t="s">
        <v>11</v>
      </c>
      <c r="G254" s="4">
        <v>3.0</v>
      </c>
      <c r="H254" s="9">
        <v>116.01</v>
      </c>
    </row>
    <row r="255" hidden="1">
      <c r="A255" s="6">
        <v>41415.0</v>
      </c>
      <c r="B255" s="7">
        <v>3.0</v>
      </c>
      <c r="C255" s="1" t="s">
        <v>14</v>
      </c>
      <c r="D255" s="1" t="s">
        <v>9</v>
      </c>
      <c r="E255" s="1" t="s">
        <v>10</v>
      </c>
      <c r="F255" s="1" t="s">
        <v>19</v>
      </c>
      <c r="G255" s="4">
        <v>2.0</v>
      </c>
      <c r="H255" s="9">
        <v>74.39</v>
      </c>
    </row>
    <row r="256" hidden="1">
      <c r="A256" s="6">
        <v>41415.0</v>
      </c>
      <c r="B256" s="7">
        <v>3.0</v>
      </c>
      <c r="C256" s="1" t="s">
        <v>15</v>
      </c>
      <c r="D256" s="1" t="s">
        <v>18</v>
      </c>
      <c r="E256" s="1" t="s">
        <v>10</v>
      </c>
      <c r="F256" s="1" t="s">
        <v>19</v>
      </c>
      <c r="G256" s="4">
        <v>4.0</v>
      </c>
      <c r="H256" s="9">
        <v>226.25</v>
      </c>
      <c r="J256" s="9"/>
      <c r="K256" s="9"/>
      <c r="L256" s="9"/>
    </row>
    <row r="257" hidden="1">
      <c r="A257" s="6">
        <v>41415.0</v>
      </c>
      <c r="B257" s="7">
        <v>3.0</v>
      </c>
      <c r="C257" s="1" t="s">
        <v>15</v>
      </c>
      <c r="D257" s="1" t="s">
        <v>9</v>
      </c>
      <c r="E257" s="1" t="s">
        <v>17</v>
      </c>
      <c r="F257" s="1" t="s">
        <v>19</v>
      </c>
      <c r="G257" s="4">
        <v>3.0</v>
      </c>
      <c r="H257" s="9">
        <v>135.19</v>
      </c>
    </row>
    <row r="258" hidden="1">
      <c r="A258" s="6">
        <v>41416.0</v>
      </c>
      <c r="B258" s="7">
        <v>4.0</v>
      </c>
      <c r="C258" s="1" t="s">
        <v>8</v>
      </c>
      <c r="D258" s="1" t="s">
        <v>9</v>
      </c>
      <c r="E258" s="1" t="s">
        <v>12</v>
      </c>
      <c r="F258" s="1" t="s">
        <v>19</v>
      </c>
      <c r="G258" s="4">
        <v>4.0</v>
      </c>
      <c r="H258" s="9">
        <v>126.16</v>
      </c>
    </row>
    <row r="259" hidden="1">
      <c r="A259" s="6">
        <v>41416.0</v>
      </c>
      <c r="B259" s="7">
        <v>4.0</v>
      </c>
      <c r="C259" s="1" t="s">
        <v>14</v>
      </c>
      <c r="D259" s="1" t="s">
        <v>20</v>
      </c>
      <c r="E259" s="1" t="s">
        <v>17</v>
      </c>
      <c r="F259" s="1" t="s">
        <v>11</v>
      </c>
      <c r="G259" s="4">
        <v>4.0</v>
      </c>
      <c r="H259" s="9">
        <v>156.3</v>
      </c>
    </row>
    <row r="260" hidden="1">
      <c r="A260" s="6">
        <v>41416.0</v>
      </c>
      <c r="B260" s="7">
        <v>4.0</v>
      </c>
      <c r="C260" s="1" t="s">
        <v>14</v>
      </c>
      <c r="D260" s="1" t="s">
        <v>20</v>
      </c>
      <c r="E260" s="8" t="s">
        <v>12</v>
      </c>
      <c r="F260" s="1" t="s">
        <v>11</v>
      </c>
      <c r="G260" s="4">
        <v>3.0</v>
      </c>
      <c r="H260" s="9">
        <v>73.42</v>
      </c>
    </row>
    <row r="261">
      <c r="A261" s="6">
        <v>41416.0</v>
      </c>
      <c r="B261" s="7">
        <v>4.0</v>
      </c>
      <c r="C261" s="1" t="s">
        <v>14</v>
      </c>
      <c r="D261" s="1" t="s">
        <v>18</v>
      </c>
      <c r="E261" s="1" t="s">
        <v>10</v>
      </c>
      <c r="F261" s="1" t="s">
        <v>11</v>
      </c>
      <c r="G261" s="4">
        <v>7.0</v>
      </c>
      <c r="H261" s="9">
        <v>310.74</v>
      </c>
      <c r="L261" s="9"/>
    </row>
    <row r="262">
      <c r="A262" s="6">
        <v>41416.0</v>
      </c>
      <c r="B262" s="7">
        <v>4.0</v>
      </c>
      <c r="C262" s="1" t="s">
        <v>14</v>
      </c>
      <c r="D262" s="1" t="s">
        <v>18</v>
      </c>
      <c r="E262" s="8" t="s">
        <v>10</v>
      </c>
      <c r="F262" s="1" t="s">
        <v>11</v>
      </c>
      <c r="G262" s="4">
        <v>6.0</v>
      </c>
      <c r="H262" s="9">
        <v>296.26</v>
      </c>
      <c r="L262" s="9"/>
    </row>
    <row r="263" hidden="1">
      <c r="A263" s="6">
        <v>41416.0</v>
      </c>
      <c r="B263" s="7">
        <v>4.0</v>
      </c>
      <c r="C263" s="1" t="s">
        <v>15</v>
      </c>
      <c r="D263" s="1" t="s">
        <v>9</v>
      </c>
      <c r="E263" s="1" t="s">
        <v>17</v>
      </c>
      <c r="F263" s="1" t="s">
        <v>19</v>
      </c>
      <c r="G263" s="4">
        <v>2.0</v>
      </c>
      <c r="H263" s="9">
        <v>115.29</v>
      </c>
    </row>
    <row r="264" hidden="1">
      <c r="A264" s="6">
        <v>41417.0</v>
      </c>
      <c r="B264" s="7">
        <v>5.0</v>
      </c>
      <c r="C264" s="1" t="s">
        <v>15</v>
      </c>
      <c r="D264" s="1" t="s">
        <v>9</v>
      </c>
      <c r="E264" s="1" t="s">
        <v>12</v>
      </c>
      <c r="F264" s="1" t="s">
        <v>19</v>
      </c>
      <c r="G264" s="4">
        <v>4.0</v>
      </c>
      <c r="H264" s="9">
        <v>212.94</v>
      </c>
    </row>
    <row r="265" hidden="1">
      <c r="A265" s="6">
        <v>41418.0</v>
      </c>
      <c r="B265" s="7">
        <v>6.0</v>
      </c>
      <c r="C265" s="1" t="s">
        <v>8</v>
      </c>
      <c r="D265" s="1" t="s">
        <v>20</v>
      </c>
      <c r="E265" s="1" t="s">
        <v>10</v>
      </c>
      <c r="F265" s="1" t="s">
        <v>11</v>
      </c>
      <c r="G265" s="4">
        <v>2.0</v>
      </c>
      <c r="H265" s="9">
        <v>85.93</v>
      </c>
    </row>
    <row r="266" hidden="1">
      <c r="A266" s="6">
        <v>41418.0</v>
      </c>
      <c r="B266" s="7">
        <v>6.0</v>
      </c>
      <c r="C266" s="1" t="s">
        <v>14</v>
      </c>
      <c r="D266" s="1" t="s">
        <v>9</v>
      </c>
      <c r="E266" s="1" t="s">
        <v>12</v>
      </c>
      <c r="F266" s="1" t="s">
        <v>19</v>
      </c>
      <c r="G266" s="4">
        <v>2.0</v>
      </c>
      <c r="H266" s="9">
        <v>80.02</v>
      </c>
    </row>
    <row r="267">
      <c r="A267" s="6">
        <v>41418.0</v>
      </c>
      <c r="B267" s="7">
        <v>6.0</v>
      </c>
      <c r="C267" s="1" t="s">
        <v>14</v>
      </c>
      <c r="D267" s="1" t="s">
        <v>18</v>
      </c>
      <c r="E267" s="8" t="s">
        <v>17</v>
      </c>
      <c r="F267" s="1" t="s">
        <v>11</v>
      </c>
      <c r="G267" s="4">
        <v>5.0</v>
      </c>
      <c r="H267" s="9">
        <v>286.17</v>
      </c>
      <c r="L267" s="9"/>
    </row>
    <row r="268" hidden="1">
      <c r="A268" s="6">
        <v>41419.0</v>
      </c>
      <c r="B268" s="7">
        <v>7.0</v>
      </c>
      <c r="C268" s="1" t="s">
        <v>8</v>
      </c>
      <c r="D268" s="1" t="s">
        <v>20</v>
      </c>
      <c r="E268" s="1" t="s">
        <v>10</v>
      </c>
      <c r="F268" s="1" t="s">
        <v>11</v>
      </c>
      <c r="G268" s="4">
        <v>4.0</v>
      </c>
      <c r="H268" s="9">
        <v>190.27</v>
      </c>
    </row>
    <row r="269" hidden="1">
      <c r="A269" s="6">
        <v>41419.0</v>
      </c>
      <c r="B269" s="7">
        <v>7.0</v>
      </c>
      <c r="C269" s="1" t="s">
        <v>14</v>
      </c>
      <c r="D269" s="1" t="s">
        <v>18</v>
      </c>
      <c r="E269" s="1" t="s">
        <v>12</v>
      </c>
      <c r="F269" s="1" t="s">
        <v>19</v>
      </c>
      <c r="G269" s="4">
        <v>5.0</v>
      </c>
      <c r="H269" s="9">
        <v>265.24</v>
      </c>
      <c r="J269" s="9"/>
      <c r="K269" s="9"/>
      <c r="L269" s="9"/>
    </row>
    <row r="270" hidden="1">
      <c r="A270" s="6">
        <v>41419.0</v>
      </c>
      <c r="B270" s="7">
        <v>7.0</v>
      </c>
      <c r="C270" s="1" t="s">
        <v>14</v>
      </c>
      <c r="D270" s="1" t="s">
        <v>9</v>
      </c>
      <c r="E270" s="8" t="s">
        <v>10</v>
      </c>
      <c r="F270" s="1" t="s">
        <v>11</v>
      </c>
      <c r="G270" s="4">
        <v>7.0</v>
      </c>
      <c r="H270" s="9">
        <v>353.93</v>
      </c>
    </row>
    <row r="271" hidden="1">
      <c r="A271" s="6">
        <v>41420.0</v>
      </c>
      <c r="B271" s="7">
        <v>1.0</v>
      </c>
      <c r="C271" s="1" t="s">
        <v>8</v>
      </c>
      <c r="D271" s="1" t="s">
        <v>18</v>
      </c>
      <c r="E271" s="1" t="s">
        <v>12</v>
      </c>
      <c r="F271" s="1" t="s">
        <v>19</v>
      </c>
      <c r="G271" s="4">
        <v>5.0</v>
      </c>
      <c r="H271" s="9">
        <v>314.77</v>
      </c>
      <c r="J271" s="9"/>
      <c r="K271" s="9"/>
      <c r="L271" s="9"/>
    </row>
    <row r="272" hidden="1">
      <c r="A272" s="6">
        <v>41420.0</v>
      </c>
      <c r="B272" s="7">
        <v>1.0</v>
      </c>
      <c r="C272" s="1" t="s">
        <v>14</v>
      </c>
      <c r="D272" s="1" t="s">
        <v>21</v>
      </c>
      <c r="E272" s="8" t="s">
        <v>12</v>
      </c>
      <c r="F272" s="1" t="s">
        <v>11</v>
      </c>
      <c r="G272" s="4">
        <v>2.0</v>
      </c>
      <c r="H272" s="9">
        <v>169.23</v>
      </c>
    </row>
    <row r="273" hidden="1">
      <c r="A273" s="6">
        <v>41420.0</v>
      </c>
      <c r="B273" s="7">
        <v>1.0</v>
      </c>
      <c r="C273" s="1" t="s">
        <v>15</v>
      </c>
      <c r="D273" s="1" t="s">
        <v>9</v>
      </c>
      <c r="E273" s="1" t="s">
        <v>10</v>
      </c>
      <c r="F273" s="1" t="s">
        <v>11</v>
      </c>
      <c r="G273" s="4">
        <v>3.0</v>
      </c>
      <c r="H273" s="9">
        <v>149.71</v>
      </c>
    </row>
    <row r="274" hidden="1">
      <c r="A274" s="6">
        <v>41420.0</v>
      </c>
      <c r="B274" s="7">
        <v>1.0</v>
      </c>
      <c r="C274" s="1" t="s">
        <v>15</v>
      </c>
      <c r="D274" s="1" t="s">
        <v>21</v>
      </c>
      <c r="E274" s="1" t="s">
        <v>10</v>
      </c>
      <c r="F274" s="1" t="s">
        <v>19</v>
      </c>
      <c r="G274" s="4">
        <v>2.0</v>
      </c>
      <c r="H274" s="9">
        <v>105.35</v>
      </c>
    </row>
    <row r="275" hidden="1">
      <c r="A275" s="6">
        <v>41421.0</v>
      </c>
      <c r="B275" s="7">
        <v>2.0</v>
      </c>
      <c r="C275" s="1" t="s">
        <v>14</v>
      </c>
      <c r="D275" s="1" t="s">
        <v>20</v>
      </c>
      <c r="E275" s="1" t="s">
        <v>12</v>
      </c>
      <c r="F275" s="1" t="s">
        <v>11</v>
      </c>
      <c r="G275" s="4">
        <v>2.0</v>
      </c>
      <c r="H275" s="9">
        <v>111.47</v>
      </c>
    </row>
    <row r="276" hidden="1">
      <c r="A276" s="6">
        <v>41421.0</v>
      </c>
      <c r="B276" s="7">
        <v>2.0</v>
      </c>
      <c r="C276" s="1" t="s">
        <v>15</v>
      </c>
      <c r="D276" s="1" t="s">
        <v>9</v>
      </c>
      <c r="E276" s="1" t="s">
        <v>10</v>
      </c>
      <c r="F276" s="1" t="s">
        <v>19</v>
      </c>
      <c r="G276" s="4">
        <v>9.0</v>
      </c>
      <c r="H276" s="9">
        <v>441.16</v>
      </c>
    </row>
    <row r="277" hidden="1">
      <c r="A277" s="6">
        <v>41422.0</v>
      </c>
      <c r="B277" s="7">
        <v>3.0</v>
      </c>
      <c r="C277" s="1" t="s">
        <v>8</v>
      </c>
      <c r="D277" s="1" t="s">
        <v>21</v>
      </c>
      <c r="E277" s="1" t="s">
        <v>10</v>
      </c>
      <c r="F277" s="1" t="s">
        <v>11</v>
      </c>
      <c r="G277" s="4">
        <v>5.0</v>
      </c>
      <c r="H277" s="9">
        <v>179.56</v>
      </c>
    </row>
    <row r="278" hidden="1">
      <c r="A278" s="6">
        <v>41422.0</v>
      </c>
      <c r="B278" s="7">
        <v>3.0</v>
      </c>
      <c r="C278" s="1" t="s">
        <v>15</v>
      </c>
      <c r="D278" s="1" t="s">
        <v>20</v>
      </c>
      <c r="E278" s="1" t="s">
        <v>10</v>
      </c>
      <c r="F278" s="1" t="s">
        <v>19</v>
      </c>
      <c r="G278" s="4">
        <v>2.0</v>
      </c>
      <c r="H278" s="9">
        <v>83.15</v>
      </c>
    </row>
    <row r="279" hidden="1">
      <c r="A279" s="6">
        <v>41423.0</v>
      </c>
      <c r="B279" s="7">
        <v>4.0</v>
      </c>
      <c r="C279" s="1" t="s">
        <v>15</v>
      </c>
      <c r="D279" s="1" t="s">
        <v>20</v>
      </c>
      <c r="E279" s="1" t="s">
        <v>12</v>
      </c>
      <c r="F279" s="1" t="s">
        <v>19</v>
      </c>
      <c r="G279" s="4">
        <v>4.0</v>
      </c>
      <c r="H279" s="9">
        <v>262.86</v>
      </c>
    </row>
    <row r="280" hidden="1">
      <c r="A280" s="6">
        <v>41423.0</v>
      </c>
      <c r="B280" s="7">
        <v>4.0</v>
      </c>
      <c r="C280" s="1" t="s">
        <v>15</v>
      </c>
      <c r="D280" s="1" t="s">
        <v>21</v>
      </c>
      <c r="E280" s="1" t="s">
        <v>12</v>
      </c>
      <c r="F280" s="1" t="s">
        <v>19</v>
      </c>
      <c r="G280" s="4">
        <v>2.0</v>
      </c>
      <c r="H280" s="9">
        <v>82.51</v>
      </c>
    </row>
    <row r="281">
      <c r="A281" s="6">
        <v>41424.0</v>
      </c>
      <c r="B281" s="7">
        <v>5.0</v>
      </c>
      <c r="C281" s="1" t="s">
        <v>8</v>
      </c>
      <c r="D281" s="1" t="s">
        <v>18</v>
      </c>
      <c r="E281" s="8" t="s">
        <v>10</v>
      </c>
      <c r="F281" s="1" t="s">
        <v>11</v>
      </c>
      <c r="G281" s="4">
        <v>5.0</v>
      </c>
      <c r="H281" s="9">
        <v>290.27</v>
      </c>
      <c r="L281" s="9"/>
    </row>
    <row r="282" hidden="1">
      <c r="A282" s="6">
        <v>41424.0</v>
      </c>
      <c r="B282" s="7">
        <v>5.0</v>
      </c>
      <c r="C282" s="1" t="s">
        <v>8</v>
      </c>
      <c r="D282" s="1" t="s">
        <v>9</v>
      </c>
      <c r="E282" s="8" t="s">
        <v>12</v>
      </c>
      <c r="F282" s="1" t="s">
        <v>11</v>
      </c>
      <c r="G282" s="4">
        <v>5.0</v>
      </c>
      <c r="H282" s="9">
        <v>223.08</v>
      </c>
    </row>
    <row r="283">
      <c r="A283" s="6">
        <v>41424.0</v>
      </c>
      <c r="B283" s="7">
        <v>5.0</v>
      </c>
      <c r="C283" s="1" t="s">
        <v>14</v>
      </c>
      <c r="D283" s="1" t="s">
        <v>18</v>
      </c>
      <c r="E283" s="1" t="s">
        <v>10</v>
      </c>
      <c r="F283" s="1" t="s">
        <v>11</v>
      </c>
      <c r="G283" s="4">
        <v>3.0</v>
      </c>
      <c r="H283" s="9">
        <v>165.77</v>
      </c>
      <c r="L283" s="9"/>
    </row>
    <row r="284" hidden="1">
      <c r="A284" s="6">
        <v>41424.0</v>
      </c>
      <c r="B284" s="7">
        <v>5.0</v>
      </c>
      <c r="C284" s="1" t="s">
        <v>15</v>
      </c>
      <c r="D284" s="1" t="s">
        <v>20</v>
      </c>
      <c r="E284" s="1" t="s">
        <v>12</v>
      </c>
      <c r="F284" s="1" t="s">
        <v>11</v>
      </c>
      <c r="G284" s="4">
        <v>2.0</v>
      </c>
      <c r="H284" s="9">
        <v>99.81</v>
      </c>
    </row>
    <row r="285">
      <c r="A285" s="6">
        <v>41425.0</v>
      </c>
      <c r="B285" s="7">
        <v>6.0</v>
      </c>
      <c r="C285" s="1" t="s">
        <v>8</v>
      </c>
      <c r="D285" s="1" t="s">
        <v>18</v>
      </c>
      <c r="E285" s="1" t="s">
        <v>12</v>
      </c>
      <c r="F285" s="1" t="s">
        <v>11</v>
      </c>
      <c r="G285" s="4">
        <v>3.0</v>
      </c>
      <c r="H285" s="9">
        <v>158.95</v>
      </c>
      <c r="L285" s="9"/>
    </row>
    <row r="286" hidden="1">
      <c r="A286" s="6">
        <v>41425.0</v>
      </c>
      <c r="B286" s="7">
        <v>6.0</v>
      </c>
      <c r="C286" s="1" t="s">
        <v>8</v>
      </c>
      <c r="D286" s="1" t="s">
        <v>21</v>
      </c>
      <c r="E286" s="1" t="s">
        <v>12</v>
      </c>
      <c r="F286" s="1" t="s">
        <v>11</v>
      </c>
      <c r="G286" s="4">
        <v>5.0</v>
      </c>
      <c r="H286" s="9">
        <v>280.99</v>
      </c>
    </row>
    <row r="287" hidden="1">
      <c r="A287" s="6">
        <v>41425.0</v>
      </c>
      <c r="B287" s="7">
        <v>6.0</v>
      </c>
      <c r="C287" s="1" t="s">
        <v>8</v>
      </c>
      <c r="D287" s="1" t="s">
        <v>20</v>
      </c>
      <c r="E287" s="1" t="s">
        <v>12</v>
      </c>
      <c r="F287" s="1" t="s">
        <v>11</v>
      </c>
      <c r="G287" s="4">
        <v>4.0</v>
      </c>
      <c r="H287" s="9">
        <v>149.89</v>
      </c>
    </row>
    <row r="288" hidden="1">
      <c r="A288" s="6">
        <v>41425.0</v>
      </c>
      <c r="B288" s="7">
        <v>6.0</v>
      </c>
      <c r="C288" s="1" t="s">
        <v>14</v>
      </c>
      <c r="D288" s="1" t="s">
        <v>20</v>
      </c>
      <c r="E288" s="1" t="s">
        <v>10</v>
      </c>
      <c r="F288" s="1" t="s">
        <v>11</v>
      </c>
      <c r="G288" s="4">
        <v>7.0</v>
      </c>
      <c r="H288" s="9">
        <v>363.52</v>
      </c>
    </row>
    <row r="289" hidden="1">
      <c r="A289" s="6">
        <v>41425.0</v>
      </c>
      <c r="B289" s="7">
        <v>6.0</v>
      </c>
      <c r="C289" s="1" t="s">
        <v>15</v>
      </c>
      <c r="D289" s="1" t="s">
        <v>18</v>
      </c>
      <c r="E289" s="1" t="s">
        <v>10</v>
      </c>
      <c r="F289" s="1" t="s">
        <v>19</v>
      </c>
      <c r="G289" s="4">
        <v>2.0</v>
      </c>
      <c r="H289" s="9">
        <v>93.97</v>
      </c>
      <c r="J289" s="9"/>
      <c r="K289" s="9"/>
      <c r="L289" s="9"/>
    </row>
    <row r="290">
      <c r="A290" s="6">
        <v>41426.0</v>
      </c>
      <c r="B290" s="7">
        <v>7.0</v>
      </c>
      <c r="C290" s="1" t="s">
        <v>14</v>
      </c>
      <c r="D290" s="1" t="s">
        <v>18</v>
      </c>
      <c r="E290" s="8" t="s">
        <v>12</v>
      </c>
      <c r="F290" s="1" t="s">
        <v>11</v>
      </c>
      <c r="G290" s="4">
        <v>8.0</v>
      </c>
      <c r="H290" s="9">
        <v>391.97</v>
      </c>
      <c r="L290" s="9"/>
    </row>
    <row r="291" hidden="1">
      <c r="A291" s="6">
        <v>41426.0</v>
      </c>
      <c r="B291" s="7">
        <v>7.0</v>
      </c>
      <c r="C291" s="1" t="s">
        <v>14</v>
      </c>
      <c r="D291" s="1" t="s">
        <v>9</v>
      </c>
      <c r="E291" s="8" t="s">
        <v>10</v>
      </c>
      <c r="F291" s="1" t="s">
        <v>11</v>
      </c>
      <c r="G291" s="4">
        <v>5.0</v>
      </c>
      <c r="H291" s="9">
        <v>275.54</v>
      </c>
    </row>
    <row r="292" hidden="1">
      <c r="A292" s="6">
        <v>41426.0</v>
      </c>
      <c r="B292" s="7">
        <v>7.0</v>
      </c>
      <c r="C292" s="1" t="s">
        <v>14</v>
      </c>
      <c r="D292" s="1" t="s">
        <v>18</v>
      </c>
      <c r="E292" s="1" t="s">
        <v>10</v>
      </c>
      <c r="F292" s="1" t="s">
        <v>19</v>
      </c>
      <c r="G292" s="4">
        <v>1.0</v>
      </c>
      <c r="H292" s="9">
        <v>115.55</v>
      </c>
      <c r="J292" s="9"/>
      <c r="K292" s="9"/>
      <c r="L292" s="9"/>
    </row>
    <row r="293" hidden="1">
      <c r="A293" s="6">
        <v>41426.0</v>
      </c>
      <c r="B293" s="7">
        <v>7.0</v>
      </c>
      <c r="C293" s="1" t="s">
        <v>15</v>
      </c>
      <c r="D293" s="1" t="s">
        <v>21</v>
      </c>
      <c r="E293" s="1" t="s">
        <v>12</v>
      </c>
      <c r="F293" s="1" t="s">
        <v>19</v>
      </c>
      <c r="G293" s="4">
        <v>3.0</v>
      </c>
      <c r="H293" s="9">
        <v>125.0</v>
      </c>
    </row>
    <row r="294" hidden="1">
      <c r="A294" s="6">
        <v>41426.0</v>
      </c>
      <c r="B294" s="7">
        <v>7.0</v>
      </c>
      <c r="C294" s="1" t="s">
        <v>15</v>
      </c>
      <c r="D294" s="1" t="s">
        <v>20</v>
      </c>
      <c r="E294" s="1" t="s">
        <v>12</v>
      </c>
      <c r="F294" s="1" t="s">
        <v>11</v>
      </c>
      <c r="G294" s="4">
        <v>1.0</v>
      </c>
      <c r="H294" s="9">
        <v>103.15</v>
      </c>
    </row>
    <row r="295" hidden="1">
      <c r="A295" s="6">
        <v>41426.0</v>
      </c>
      <c r="B295" s="7">
        <v>7.0</v>
      </c>
      <c r="C295" s="1" t="s">
        <v>15</v>
      </c>
      <c r="D295" s="1" t="s">
        <v>18</v>
      </c>
      <c r="E295" s="1" t="s">
        <v>12</v>
      </c>
      <c r="F295" s="1" t="s">
        <v>19</v>
      </c>
      <c r="G295" s="4">
        <v>9.0</v>
      </c>
      <c r="H295" s="9">
        <v>256.7</v>
      </c>
      <c r="J295" s="9"/>
      <c r="K295" s="9"/>
      <c r="L295" s="9"/>
    </row>
    <row r="296" hidden="1">
      <c r="A296" s="6">
        <v>41426.0</v>
      </c>
      <c r="B296" s="7">
        <v>7.0</v>
      </c>
      <c r="C296" s="1" t="s">
        <v>15</v>
      </c>
      <c r="D296" s="1" t="s">
        <v>21</v>
      </c>
      <c r="E296" s="1" t="s">
        <v>10</v>
      </c>
      <c r="F296" s="1" t="s">
        <v>11</v>
      </c>
      <c r="G296" s="4">
        <v>1.0</v>
      </c>
      <c r="H296" s="9">
        <v>117.99</v>
      </c>
    </row>
    <row r="297" hidden="1">
      <c r="A297" s="6">
        <v>41426.0</v>
      </c>
      <c r="B297" s="7">
        <v>7.0</v>
      </c>
      <c r="C297" s="1" t="s">
        <v>15</v>
      </c>
      <c r="D297" s="1" t="s">
        <v>20</v>
      </c>
      <c r="E297" s="1" t="s">
        <v>10</v>
      </c>
      <c r="F297" s="1" t="s">
        <v>11</v>
      </c>
      <c r="G297" s="4">
        <v>2.0</v>
      </c>
      <c r="H297" s="9">
        <v>98.55</v>
      </c>
    </row>
    <row r="298" hidden="1">
      <c r="A298" s="6">
        <v>41427.0</v>
      </c>
      <c r="B298" s="7">
        <v>1.0</v>
      </c>
      <c r="C298" s="1" t="s">
        <v>8</v>
      </c>
      <c r="D298" s="1" t="s">
        <v>21</v>
      </c>
      <c r="E298" s="1" t="s">
        <v>17</v>
      </c>
      <c r="F298" s="1" t="s">
        <v>11</v>
      </c>
      <c r="G298" s="4">
        <v>2.0</v>
      </c>
      <c r="H298" s="9">
        <v>112.93</v>
      </c>
    </row>
    <row r="299" hidden="1">
      <c r="A299" s="6">
        <v>41427.0</v>
      </c>
      <c r="B299" s="7">
        <v>1.0</v>
      </c>
      <c r="C299" s="1" t="s">
        <v>15</v>
      </c>
      <c r="D299" s="1" t="s">
        <v>20</v>
      </c>
      <c r="E299" s="1" t="s">
        <v>10</v>
      </c>
      <c r="F299" s="1" t="s">
        <v>11</v>
      </c>
      <c r="G299" s="4">
        <v>2.0</v>
      </c>
      <c r="H299" s="9">
        <v>76.3</v>
      </c>
    </row>
    <row r="300">
      <c r="A300" s="6">
        <v>41428.0</v>
      </c>
      <c r="B300" s="7">
        <v>2.0</v>
      </c>
      <c r="C300" s="1" t="s">
        <v>14</v>
      </c>
      <c r="D300" s="1" t="s">
        <v>18</v>
      </c>
      <c r="E300" s="1" t="s">
        <v>17</v>
      </c>
      <c r="F300" s="1" t="s">
        <v>11</v>
      </c>
      <c r="G300" s="4">
        <v>2.0</v>
      </c>
      <c r="H300" s="9">
        <v>129.8</v>
      </c>
      <c r="L300" s="9"/>
    </row>
    <row r="301" hidden="1">
      <c r="A301" s="6">
        <v>41428.0</v>
      </c>
      <c r="B301" s="7">
        <v>2.0</v>
      </c>
      <c r="C301" s="1" t="s">
        <v>15</v>
      </c>
      <c r="D301" s="1" t="s">
        <v>20</v>
      </c>
      <c r="E301" s="1" t="s">
        <v>12</v>
      </c>
      <c r="F301" s="1" t="s">
        <v>11</v>
      </c>
      <c r="G301" s="4">
        <v>3.0</v>
      </c>
      <c r="H301" s="9">
        <v>140.25</v>
      </c>
    </row>
    <row r="302" hidden="1">
      <c r="A302" s="6">
        <v>41429.0</v>
      </c>
      <c r="B302" s="7">
        <v>3.0</v>
      </c>
      <c r="C302" s="1" t="s">
        <v>8</v>
      </c>
      <c r="D302" s="1" t="s">
        <v>18</v>
      </c>
      <c r="E302" s="8" t="s">
        <v>12</v>
      </c>
      <c r="F302" s="1" t="s">
        <v>19</v>
      </c>
      <c r="G302" s="4">
        <v>3.0</v>
      </c>
      <c r="H302" s="9">
        <v>149.79</v>
      </c>
      <c r="J302" s="9"/>
      <c r="K302" s="9"/>
      <c r="L302" s="9"/>
    </row>
    <row r="303">
      <c r="A303" s="6">
        <v>41429.0</v>
      </c>
      <c r="B303" s="7">
        <v>3.0</v>
      </c>
      <c r="C303" s="1" t="s">
        <v>8</v>
      </c>
      <c r="D303" s="1" t="s">
        <v>18</v>
      </c>
      <c r="E303" s="1" t="s">
        <v>12</v>
      </c>
      <c r="F303" s="1" t="s">
        <v>11</v>
      </c>
      <c r="G303" s="4">
        <v>4.0</v>
      </c>
      <c r="H303" s="9">
        <v>172.2</v>
      </c>
      <c r="L303" s="9"/>
    </row>
    <row r="304" hidden="1">
      <c r="A304" s="6">
        <v>41429.0</v>
      </c>
      <c r="B304" s="7">
        <v>3.0</v>
      </c>
      <c r="C304" s="1" t="s">
        <v>15</v>
      </c>
      <c r="D304" s="1" t="s">
        <v>9</v>
      </c>
      <c r="E304" s="8" t="s">
        <v>10</v>
      </c>
      <c r="F304" s="1" t="s">
        <v>11</v>
      </c>
      <c r="G304" s="4">
        <v>3.0</v>
      </c>
      <c r="H304" s="9">
        <v>139.85</v>
      </c>
    </row>
    <row r="305" hidden="1">
      <c r="A305" s="6">
        <v>41429.0</v>
      </c>
      <c r="B305" s="7">
        <v>3.0</v>
      </c>
      <c r="C305" s="1" t="s">
        <v>15</v>
      </c>
      <c r="D305" s="1" t="s">
        <v>9</v>
      </c>
      <c r="E305" s="1" t="s">
        <v>17</v>
      </c>
      <c r="F305" s="1" t="s">
        <v>19</v>
      </c>
      <c r="G305" s="4">
        <v>1.0</v>
      </c>
      <c r="H305" s="9">
        <v>96.46</v>
      </c>
    </row>
    <row r="306" hidden="1">
      <c r="A306" s="6">
        <v>41429.0</v>
      </c>
      <c r="B306" s="7">
        <v>3.0</v>
      </c>
      <c r="C306" s="1" t="s">
        <v>15</v>
      </c>
      <c r="D306" s="1" t="s">
        <v>9</v>
      </c>
      <c r="E306" s="1" t="s">
        <v>10</v>
      </c>
      <c r="F306" s="1" t="s">
        <v>11</v>
      </c>
      <c r="G306" s="4">
        <v>3.0</v>
      </c>
      <c r="H306" s="9">
        <v>127.83</v>
      </c>
    </row>
    <row r="307" hidden="1">
      <c r="A307" s="6">
        <v>41430.0</v>
      </c>
      <c r="B307" s="7">
        <v>4.0</v>
      </c>
      <c r="C307" s="1" t="s">
        <v>15</v>
      </c>
      <c r="D307" s="1" t="s">
        <v>18</v>
      </c>
      <c r="E307" s="1" t="s">
        <v>10</v>
      </c>
      <c r="F307" s="1" t="s">
        <v>19</v>
      </c>
      <c r="G307" s="4">
        <v>6.0</v>
      </c>
      <c r="H307" s="9">
        <v>215.88</v>
      </c>
      <c r="J307" s="9"/>
      <c r="K307" s="9"/>
      <c r="L307" s="9"/>
    </row>
    <row r="308">
      <c r="A308" s="6">
        <v>41431.0</v>
      </c>
      <c r="B308" s="7">
        <v>5.0</v>
      </c>
      <c r="C308" s="1" t="s">
        <v>8</v>
      </c>
      <c r="D308" s="1" t="s">
        <v>18</v>
      </c>
      <c r="E308" s="1" t="s">
        <v>12</v>
      </c>
      <c r="F308" s="1" t="s">
        <v>11</v>
      </c>
      <c r="G308" s="4">
        <v>2.0</v>
      </c>
      <c r="H308" s="9">
        <v>133.49</v>
      </c>
      <c r="L308" s="9"/>
    </row>
    <row r="309" hidden="1">
      <c r="A309" s="6">
        <v>41431.0</v>
      </c>
      <c r="B309" s="7">
        <v>5.0</v>
      </c>
      <c r="C309" s="1" t="s">
        <v>15</v>
      </c>
      <c r="D309" s="1" t="s">
        <v>9</v>
      </c>
      <c r="E309" s="1" t="s">
        <v>10</v>
      </c>
      <c r="F309" s="1" t="s">
        <v>19</v>
      </c>
      <c r="G309" s="4">
        <v>2.0</v>
      </c>
      <c r="H309" s="9">
        <v>117.33</v>
      </c>
    </row>
    <row r="310" hidden="1">
      <c r="A310" s="6">
        <v>41432.0</v>
      </c>
      <c r="B310" s="7">
        <v>6.0</v>
      </c>
      <c r="C310" s="1" t="s">
        <v>8</v>
      </c>
      <c r="D310" s="1" t="s">
        <v>9</v>
      </c>
      <c r="E310" s="1" t="s">
        <v>10</v>
      </c>
      <c r="F310" s="1" t="s">
        <v>11</v>
      </c>
      <c r="G310" s="4">
        <v>2.0</v>
      </c>
      <c r="H310" s="9">
        <v>107.98</v>
      </c>
    </row>
    <row r="311" hidden="1">
      <c r="A311" s="6">
        <v>41432.0</v>
      </c>
      <c r="B311" s="7">
        <v>6.0</v>
      </c>
      <c r="C311" s="1" t="s">
        <v>14</v>
      </c>
      <c r="D311" s="1" t="s">
        <v>21</v>
      </c>
      <c r="E311" s="1" t="s">
        <v>10</v>
      </c>
      <c r="F311" s="1" t="s">
        <v>11</v>
      </c>
      <c r="G311" s="4">
        <v>6.0</v>
      </c>
      <c r="H311" s="9">
        <v>203.11</v>
      </c>
    </row>
    <row r="312" hidden="1">
      <c r="A312" s="6">
        <v>41432.0</v>
      </c>
      <c r="B312" s="7">
        <v>6.0</v>
      </c>
      <c r="C312" s="1" t="s">
        <v>14</v>
      </c>
      <c r="D312" s="1" t="s">
        <v>9</v>
      </c>
      <c r="E312" s="1" t="s">
        <v>10</v>
      </c>
      <c r="F312" s="1" t="s">
        <v>11</v>
      </c>
      <c r="G312" s="4">
        <v>5.0</v>
      </c>
      <c r="H312" s="9">
        <v>193.33</v>
      </c>
    </row>
    <row r="313" hidden="1">
      <c r="A313" s="6">
        <v>41432.0</v>
      </c>
      <c r="B313" s="7">
        <v>6.0</v>
      </c>
      <c r="C313" s="1" t="s">
        <v>15</v>
      </c>
      <c r="D313" s="1" t="s">
        <v>18</v>
      </c>
      <c r="E313" s="1" t="s">
        <v>17</v>
      </c>
      <c r="F313" s="1" t="s">
        <v>19</v>
      </c>
      <c r="G313" s="4">
        <v>7.0</v>
      </c>
      <c r="H313" s="9">
        <v>343.26</v>
      </c>
      <c r="J313" s="9"/>
      <c r="K313" s="9"/>
      <c r="L313" s="9"/>
    </row>
    <row r="314" hidden="1">
      <c r="A314" s="6">
        <v>41433.0</v>
      </c>
      <c r="B314" s="7">
        <v>7.0</v>
      </c>
      <c r="C314" s="1" t="s">
        <v>8</v>
      </c>
      <c r="D314" s="1" t="s">
        <v>18</v>
      </c>
      <c r="E314" s="8" t="s">
        <v>12</v>
      </c>
      <c r="F314" s="1" t="s">
        <v>19</v>
      </c>
      <c r="G314" s="4">
        <v>11.0</v>
      </c>
      <c r="H314" s="9">
        <v>485.01</v>
      </c>
      <c r="J314" s="9"/>
      <c r="K314" s="9"/>
      <c r="L314" s="9"/>
    </row>
    <row r="315" hidden="1">
      <c r="A315" s="6">
        <v>41433.0</v>
      </c>
      <c r="B315" s="7">
        <v>7.0</v>
      </c>
      <c r="C315" s="1" t="s">
        <v>15</v>
      </c>
      <c r="D315" s="1" t="s">
        <v>21</v>
      </c>
      <c r="E315" s="8" t="s">
        <v>12</v>
      </c>
      <c r="F315" s="1" t="s">
        <v>11</v>
      </c>
      <c r="G315" s="4">
        <v>4.0</v>
      </c>
      <c r="H315" s="9">
        <v>221.93</v>
      </c>
    </row>
    <row r="316" hidden="1">
      <c r="A316" s="6">
        <v>41433.0</v>
      </c>
      <c r="B316" s="7">
        <v>7.0</v>
      </c>
      <c r="C316" s="1" t="s">
        <v>15</v>
      </c>
      <c r="D316" s="1" t="s">
        <v>9</v>
      </c>
      <c r="E316" s="1" t="s">
        <v>17</v>
      </c>
      <c r="F316" s="1" t="s">
        <v>19</v>
      </c>
      <c r="G316" s="4">
        <v>2.0</v>
      </c>
      <c r="H316" s="9">
        <v>94.04</v>
      </c>
    </row>
    <row r="317" hidden="1">
      <c r="A317" s="6">
        <v>41433.0</v>
      </c>
      <c r="B317" s="7">
        <v>7.0</v>
      </c>
      <c r="C317" s="1" t="s">
        <v>15</v>
      </c>
      <c r="D317" s="1" t="s">
        <v>18</v>
      </c>
      <c r="E317" s="1" t="s">
        <v>12</v>
      </c>
      <c r="F317" s="1" t="s">
        <v>19</v>
      </c>
      <c r="G317" s="4">
        <v>1.0</v>
      </c>
      <c r="H317" s="9">
        <v>113.37</v>
      </c>
      <c r="J317" s="9"/>
      <c r="K317" s="9"/>
      <c r="L317" s="9"/>
    </row>
    <row r="318" hidden="1">
      <c r="A318" s="6">
        <v>41434.0</v>
      </c>
      <c r="B318" s="7">
        <v>1.0</v>
      </c>
      <c r="C318" s="1" t="s">
        <v>14</v>
      </c>
      <c r="D318" s="1" t="s">
        <v>18</v>
      </c>
      <c r="E318" s="1" t="s">
        <v>17</v>
      </c>
      <c r="F318" s="1" t="s">
        <v>19</v>
      </c>
      <c r="G318" s="4">
        <v>5.0</v>
      </c>
      <c r="H318" s="9">
        <v>188.26</v>
      </c>
      <c r="J318" s="9"/>
      <c r="K318" s="9"/>
      <c r="L318" s="9"/>
    </row>
    <row r="319" hidden="1">
      <c r="A319" s="6">
        <v>41435.0</v>
      </c>
      <c r="B319" s="7">
        <v>2.0</v>
      </c>
      <c r="C319" s="1" t="s">
        <v>14</v>
      </c>
      <c r="D319" s="1" t="s">
        <v>9</v>
      </c>
      <c r="E319" s="1" t="s">
        <v>10</v>
      </c>
      <c r="F319" s="1" t="s">
        <v>11</v>
      </c>
      <c r="G319" s="4">
        <v>4.0</v>
      </c>
      <c r="H319" s="9">
        <v>170.19</v>
      </c>
    </row>
    <row r="320" hidden="1">
      <c r="A320" s="6">
        <v>41435.0</v>
      </c>
      <c r="B320" s="7">
        <v>2.0</v>
      </c>
      <c r="C320" s="1" t="s">
        <v>14</v>
      </c>
      <c r="D320" s="1" t="s">
        <v>9</v>
      </c>
      <c r="E320" s="1" t="s">
        <v>17</v>
      </c>
      <c r="F320" s="1" t="s">
        <v>11</v>
      </c>
      <c r="G320" s="4">
        <v>4.0</v>
      </c>
      <c r="H320" s="9">
        <v>224.15</v>
      </c>
    </row>
    <row r="321">
      <c r="A321" s="6">
        <v>41435.0</v>
      </c>
      <c r="B321" s="7">
        <v>2.0</v>
      </c>
      <c r="C321" s="1" t="s">
        <v>14</v>
      </c>
      <c r="D321" s="1" t="s">
        <v>18</v>
      </c>
      <c r="E321" s="8" t="s">
        <v>17</v>
      </c>
      <c r="F321" s="1" t="s">
        <v>11</v>
      </c>
      <c r="G321" s="4">
        <v>7.0</v>
      </c>
      <c r="H321" s="9">
        <v>352.32</v>
      </c>
      <c r="L321" s="9"/>
    </row>
    <row r="322" hidden="1">
      <c r="A322" s="6">
        <v>41435.0</v>
      </c>
      <c r="B322" s="7">
        <v>2.0</v>
      </c>
      <c r="C322" s="1" t="s">
        <v>15</v>
      </c>
      <c r="D322" s="1" t="s">
        <v>21</v>
      </c>
      <c r="E322" s="1" t="s">
        <v>17</v>
      </c>
      <c r="F322" s="1" t="s">
        <v>19</v>
      </c>
      <c r="G322" s="4">
        <v>4.0</v>
      </c>
      <c r="H322" s="9">
        <v>257.18</v>
      </c>
    </row>
    <row r="323" hidden="1">
      <c r="A323" s="6">
        <v>41435.0</v>
      </c>
      <c r="B323" s="7">
        <v>2.0</v>
      </c>
      <c r="C323" s="1" t="s">
        <v>15</v>
      </c>
      <c r="D323" s="1" t="s">
        <v>9</v>
      </c>
      <c r="E323" s="1" t="s">
        <v>10</v>
      </c>
      <c r="F323" s="1" t="s">
        <v>19</v>
      </c>
      <c r="G323" s="4">
        <v>2.0</v>
      </c>
      <c r="H323" s="9">
        <v>122.06</v>
      </c>
    </row>
    <row r="324" hidden="1">
      <c r="A324" s="6">
        <v>41435.0</v>
      </c>
      <c r="B324" s="7">
        <v>2.0</v>
      </c>
      <c r="C324" s="1" t="s">
        <v>15</v>
      </c>
      <c r="D324" s="1" t="s">
        <v>18</v>
      </c>
      <c r="E324" s="8" t="s">
        <v>10</v>
      </c>
      <c r="F324" s="1" t="s">
        <v>19</v>
      </c>
      <c r="G324" s="4">
        <v>4.0</v>
      </c>
      <c r="H324" s="9">
        <v>239.95</v>
      </c>
      <c r="J324" s="9"/>
      <c r="K324" s="9"/>
      <c r="L324" s="9"/>
    </row>
    <row r="325" hidden="1">
      <c r="A325" s="6">
        <v>41436.0</v>
      </c>
      <c r="B325" s="7">
        <v>3.0</v>
      </c>
      <c r="C325" s="1" t="s">
        <v>14</v>
      </c>
      <c r="D325" s="1" t="s">
        <v>21</v>
      </c>
      <c r="E325" s="1" t="s">
        <v>12</v>
      </c>
      <c r="F325" s="1" t="s">
        <v>11</v>
      </c>
      <c r="G325" s="4">
        <v>3.0</v>
      </c>
      <c r="H325" s="9">
        <v>124.44</v>
      </c>
    </row>
    <row r="326" hidden="1">
      <c r="A326" s="6">
        <v>41436.0</v>
      </c>
      <c r="B326" s="7">
        <v>3.0</v>
      </c>
      <c r="C326" s="1" t="s">
        <v>14</v>
      </c>
      <c r="D326" s="1" t="s">
        <v>18</v>
      </c>
      <c r="E326" s="1" t="s">
        <v>10</v>
      </c>
      <c r="F326" s="1" t="s">
        <v>19</v>
      </c>
      <c r="G326" s="4">
        <v>4.0</v>
      </c>
      <c r="H326" s="9">
        <v>116.58</v>
      </c>
      <c r="J326" s="9"/>
      <c r="K326" s="9"/>
      <c r="L326" s="9"/>
    </row>
    <row r="327" hidden="1">
      <c r="A327" s="6">
        <v>41436.0</v>
      </c>
      <c r="B327" s="7">
        <v>3.0</v>
      </c>
      <c r="C327" s="1" t="s">
        <v>14</v>
      </c>
      <c r="D327" s="1" t="s">
        <v>21</v>
      </c>
      <c r="E327" s="1" t="s">
        <v>17</v>
      </c>
      <c r="F327" s="1" t="s">
        <v>11</v>
      </c>
      <c r="G327" s="4">
        <v>2.0</v>
      </c>
      <c r="H327" s="9">
        <v>154.46</v>
      </c>
    </row>
    <row r="328" hidden="1">
      <c r="A328" s="6">
        <v>41436.0</v>
      </c>
      <c r="B328" s="7">
        <v>3.0</v>
      </c>
      <c r="C328" s="1" t="s">
        <v>15</v>
      </c>
      <c r="D328" s="1" t="s">
        <v>21</v>
      </c>
      <c r="E328" s="1" t="s">
        <v>12</v>
      </c>
      <c r="F328" s="1" t="s">
        <v>19</v>
      </c>
      <c r="G328" s="4">
        <v>1.0</v>
      </c>
      <c r="H328" s="9">
        <v>76.92</v>
      </c>
    </row>
    <row r="329" hidden="1">
      <c r="A329" s="6">
        <v>41436.0</v>
      </c>
      <c r="B329" s="7">
        <v>3.0</v>
      </c>
      <c r="C329" s="1" t="s">
        <v>15</v>
      </c>
      <c r="D329" s="1" t="s">
        <v>20</v>
      </c>
      <c r="E329" s="1" t="s">
        <v>12</v>
      </c>
      <c r="F329" s="1" t="s">
        <v>19</v>
      </c>
      <c r="G329" s="4">
        <v>4.0</v>
      </c>
      <c r="H329" s="9">
        <v>194.85</v>
      </c>
    </row>
    <row r="330" hidden="1">
      <c r="A330" s="6">
        <v>41437.0</v>
      </c>
      <c r="B330" s="7">
        <v>4.0</v>
      </c>
      <c r="C330" s="1" t="s">
        <v>8</v>
      </c>
      <c r="D330" s="1" t="s">
        <v>20</v>
      </c>
      <c r="E330" s="8" t="s">
        <v>12</v>
      </c>
      <c r="F330" s="1" t="s">
        <v>11</v>
      </c>
      <c r="G330" s="4">
        <v>6.0</v>
      </c>
      <c r="H330" s="9">
        <v>367.7</v>
      </c>
    </row>
    <row r="331" hidden="1">
      <c r="A331" s="6">
        <v>41437.0</v>
      </c>
      <c r="B331" s="7">
        <v>4.0</v>
      </c>
      <c r="C331" s="1" t="s">
        <v>15</v>
      </c>
      <c r="D331" s="1" t="s">
        <v>18</v>
      </c>
      <c r="E331" s="1" t="s">
        <v>17</v>
      </c>
      <c r="F331" s="1" t="s">
        <v>19</v>
      </c>
      <c r="G331" s="4">
        <v>1.0</v>
      </c>
      <c r="H331" s="9">
        <v>119.5</v>
      </c>
      <c r="J331" s="9"/>
      <c r="K331" s="9"/>
      <c r="L331" s="9"/>
    </row>
    <row r="332" hidden="1">
      <c r="A332" s="6">
        <v>41437.0</v>
      </c>
      <c r="B332" s="7">
        <v>4.0</v>
      </c>
      <c r="C332" s="1" t="s">
        <v>15</v>
      </c>
      <c r="D332" s="1" t="s">
        <v>9</v>
      </c>
      <c r="E332" s="8" t="s">
        <v>12</v>
      </c>
      <c r="F332" s="1" t="s">
        <v>19</v>
      </c>
      <c r="G332" s="4">
        <v>7.0</v>
      </c>
      <c r="H332" s="9">
        <v>270.94</v>
      </c>
    </row>
    <row r="333" hidden="1">
      <c r="A333" s="6">
        <v>41437.0</v>
      </c>
      <c r="B333" s="7">
        <v>4.0</v>
      </c>
      <c r="C333" s="1" t="s">
        <v>15</v>
      </c>
      <c r="D333" s="1" t="s">
        <v>9</v>
      </c>
      <c r="E333" s="8" t="s">
        <v>17</v>
      </c>
      <c r="F333" s="1" t="s">
        <v>19</v>
      </c>
      <c r="G333" s="4">
        <v>2.0</v>
      </c>
      <c r="H333" s="9">
        <v>94.71</v>
      </c>
    </row>
    <row r="334" hidden="1">
      <c r="A334" s="6">
        <v>41438.0</v>
      </c>
      <c r="B334" s="7">
        <v>5.0</v>
      </c>
      <c r="C334" s="1" t="s">
        <v>8</v>
      </c>
      <c r="D334" s="1" t="s">
        <v>20</v>
      </c>
      <c r="E334" s="1" t="s">
        <v>10</v>
      </c>
      <c r="F334" s="1" t="s">
        <v>19</v>
      </c>
      <c r="G334" s="4">
        <v>4.0</v>
      </c>
      <c r="H334" s="9">
        <v>154.01</v>
      </c>
    </row>
    <row r="335" hidden="1">
      <c r="A335" s="6">
        <v>41438.0</v>
      </c>
      <c r="B335" s="7">
        <v>5.0</v>
      </c>
      <c r="C335" s="1" t="s">
        <v>8</v>
      </c>
      <c r="D335" s="1" t="s">
        <v>21</v>
      </c>
      <c r="E335" s="8" t="s">
        <v>10</v>
      </c>
      <c r="F335" s="1" t="s">
        <v>11</v>
      </c>
      <c r="G335" s="4">
        <v>5.0</v>
      </c>
      <c r="H335" s="9">
        <v>313.3</v>
      </c>
    </row>
    <row r="336" hidden="1">
      <c r="A336" s="6">
        <v>41438.0</v>
      </c>
      <c r="B336" s="7">
        <v>5.0</v>
      </c>
      <c r="C336" s="1" t="s">
        <v>14</v>
      </c>
      <c r="D336" s="1" t="s">
        <v>9</v>
      </c>
      <c r="E336" s="1" t="s">
        <v>10</v>
      </c>
      <c r="F336" s="1" t="s">
        <v>19</v>
      </c>
      <c r="G336" s="4">
        <v>7.0</v>
      </c>
      <c r="H336" s="9">
        <v>217.99</v>
      </c>
    </row>
    <row r="337">
      <c r="A337" s="6">
        <v>41439.0</v>
      </c>
      <c r="B337" s="7">
        <v>6.0</v>
      </c>
      <c r="C337" s="1" t="s">
        <v>14</v>
      </c>
      <c r="D337" s="1" t="s">
        <v>18</v>
      </c>
      <c r="E337" s="1" t="s">
        <v>10</v>
      </c>
      <c r="F337" s="1" t="s">
        <v>11</v>
      </c>
      <c r="G337" s="4">
        <v>3.0</v>
      </c>
      <c r="H337" s="9">
        <v>127.22</v>
      </c>
      <c r="L337" s="9"/>
    </row>
    <row r="338" hidden="1">
      <c r="A338" s="6">
        <v>41439.0</v>
      </c>
      <c r="B338" s="7">
        <v>6.0</v>
      </c>
      <c r="C338" s="1" t="s">
        <v>14</v>
      </c>
      <c r="D338" s="1" t="s">
        <v>20</v>
      </c>
      <c r="E338" s="1" t="s">
        <v>12</v>
      </c>
      <c r="F338" s="1" t="s">
        <v>19</v>
      </c>
      <c r="G338" s="4">
        <v>1.0</v>
      </c>
      <c r="H338" s="9">
        <v>135.97</v>
      </c>
    </row>
    <row r="339" hidden="1">
      <c r="A339" s="6">
        <v>41439.0</v>
      </c>
      <c r="B339" s="7">
        <v>6.0</v>
      </c>
      <c r="C339" s="1" t="s">
        <v>14</v>
      </c>
      <c r="D339" s="1" t="s">
        <v>9</v>
      </c>
      <c r="E339" s="1" t="s">
        <v>12</v>
      </c>
      <c r="F339" s="1" t="s">
        <v>11</v>
      </c>
      <c r="G339" s="4">
        <v>1.0</v>
      </c>
      <c r="H339" s="9">
        <v>87.14</v>
      </c>
    </row>
    <row r="340" hidden="1">
      <c r="A340" s="6">
        <v>41439.0</v>
      </c>
      <c r="B340" s="7">
        <v>6.0</v>
      </c>
      <c r="C340" s="1" t="s">
        <v>14</v>
      </c>
      <c r="D340" s="1" t="s">
        <v>21</v>
      </c>
      <c r="E340" s="1" t="s">
        <v>10</v>
      </c>
      <c r="F340" s="1" t="s">
        <v>19</v>
      </c>
      <c r="G340" s="4">
        <v>2.0</v>
      </c>
      <c r="H340" s="9">
        <v>96.77</v>
      </c>
    </row>
    <row r="341" hidden="1">
      <c r="A341" s="6">
        <v>41439.0</v>
      </c>
      <c r="B341" s="7">
        <v>6.0</v>
      </c>
      <c r="C341" s="1" t="s">
        <v>15</v>
      </c>
      <c r="D341" s="1" t="s">
        <v>9</v>
      </c>
      <c r="E341" s="1" t="s">
        <v>12</v>
      </c>
      <c r="F341" s="1" t="s">
        <v>11</v>
      </c>
      <c r="G341" s="4">
        <v>1.0</v>
      </c>
      <c r="H341" s="9">
        <v>74.74</v>
      </c>
    </row>
    <row r="342" hidden="1">
      <c r="A342" s="6">
        <v>41440.0</v>
      </c>
      <c r="B342" s="7">
        <v>7.0</v>
      </c>
      <c r="C342" s="1" t="s">
        <v>8</v>
      </c>
      <c r="D342" s="1" t="s">
        <v>20</v>
      </c>
      <c r="E342" s="1" t="s">
        <v>17</v>
      </c>
      <c r="F342" s="1" t="s">
        <v>11</v>
      </c>
      <c r="G342" s="4">
        <v>1.0</v>
      </c>
      <c r="H342" s="9">
        <v>117.48</v>
      </c>
    </row>
    <row r="343" hidden="1">
      <c r="A343" s="6">
        <v>41440.0</v>
      </c>
      <c r="B343" s="7">
        <v>7.0</v>
      </c>
      <c r="C343" s="1" t="s">
        <v>8</v>
      </c>
      <c r="D343" s="1" t="s">
        <v>9</v>
      </c>
      <c r="E343" s="1" t="s">
        <v>10</v>
      </c>
      <c r="F343" s="1" t="s">
        <v>19</v>
      </c>
      <c r="G343" s="4">
        <v>2.0</v>
      </c>
      <c r="H343" s="9">
        <v>132.89</v>
      </c>
    </row>
    <row r="344" hidden="1">
      <c r="A344" s="6">
        <v>41440.0</v>
      </c>
      <c r="B344" s="7">
        <v>7.0</v>
      </c>
      <c r="C344" s="1" t="s">
        <v>8</v>
      </c>
      <c r="D344" s="1" t="s">
        <v>18</v>
      </c>
      <c r="E344" s="8" t="s">
        <v>10</v>
      </c>
      <c r="F344" s="1" t="s">
        <v>19</v>
      </c>
      <c r="G344" s="4">
        <v>5.0</v>
      </c>
      <c r="H344" s="9">
        <v>230.26</v>
      </c>
      <c r="J344" s="9"/>
      <c r="K344" s="9"/>
      <c r="L344" s="9"/>
    </row>
    <row r="345" hidden="1">
      <c r="A345" s="6">
        <v>41440.0</v>
      </c>
      <c r="B345" s="7">
        <v>7.0</v>
      </c>
      <c r="C345" s="1" t="s">
        <v>14</v>
      </c>
      <c r="D345" s="1" t="s">
        <v>18</v>
      </c>
      <c r="E345" s="8" t="s">
        <v>10</v>
      </c>
      <c r="F345" s="1" t="s">
        <v>19</v>
      </c>
      <c r="G345" s="4">
        <v>10.0</v>
      </c>
      <c r="H345" s="9">
        <v>451.03</v>
      </c>
      <c r="J345" s="9"/>
      <c r="K345" s="9"/>
      <c r="L345" s="9"/>
    </row>
    <row r="346" hidden="1">
      <c r="A346" s="6">
        <v>41440.0</v>
      </c>
      <c r="B346" s="7">
        <v>7.0</v>
      </c>
      <c r="C346" s="1" t="s">
        <v>14</v>
      </c>
      <c r="D346" s="1" t="s">
        <v>21</v>
      </c>
      <c r="E346" s="1" t="s">
        <v>17</v>
      </c>
      <c r="F346" s="1" t="s">
        <v>11</v>
      </c>
      <c r="G346" s="4">
        <v>3.0</v>
      </c>
      <c r="H346" s="9">
        <v>153.31</v>
      </c>
    </row>
    <row r="347" hidden="1">
      <c r="A347" s="6">
        <v>41441.0</v>
      </c>
      <c r="B347" s="7">
        <v>1.0</v>
      </c>
      <c r="C347" s="1" t="s">
        <v>8</v>
      </c>
      <c r="D347" s="1" t="s">
        <v>21</v>
      </c>
      <c r="E347" s="1" t="s">
        <v>12</v>
      </c>
      <c r="F347" s="1" t="s">
        <v>19</v>
      </c>
      <c r="G347" s="4">
        <v>3.0</v>
      </c>
      <c r="H347" s="9">
        <v>117.79</v>
      </c>
    </row>
    <row r="348" hidden="1">
      <c r="A348" s="6">
        <v>41442.0</v>
      </c>
      <c r="B348" s="7">
        <v>2.0</v>
      </c>
      <c r="C348" s="1" t="s">
        <v>8</v>
      </c>
      <c r="D348" s="1" t="s">
        <v>9</v>
      </c>
      <c r="E348" s="8" t="s">
        <v>10</v>
      </c>
      <c r="F348" s="1" t="s">
        <v>11</v>
      </c>
      <c r="G348" s="4">
        <v>7.0</v>
      </c>
      <c r="H348" s="9">
        <v>357.32</v>
      </c>
    </row>
    <row r="349" hidden="1">
      <c r="A349" s="6">
        <v>41442.0</v>
      </c>
      <c r="B349" s="7">
        <v>2.0</v>
      </c>
      <c r="C349" s="1" t="s">
        <v>14</v>
      </c>
      <c r="D349" s="1" t="s">
        <v>20</v>
      </c>
      <c r="E349" s="8" t="s">
        <v>10</v>
      </c>
      <c r="F349" s="1" t="s">
        <v>11</v>
      </c>
      <c r="G349" s="4">
        <v>7.0</v>
      </c>
      <c r="H349" s="9">
        <v>374.17</v>
      </c>
    </row>
    <row r="350">
      <c r="A350" s="6">
        <v>41443.0</v>
      </c>
      <c r="B350" s="7">
        <v>3.0</v>
      </c>
      <c r="C350" s="1" t="s">
        <v>14</v>
      </c>
      <c r="D350" s="1" t="s">
        <v>18</v>
      </c>
      <c r="E350" s="1" t="s">
        <v>12</v>
      </c>
      <c r="F350" s="1" t="s">
        <v>11</v>
      </c>
      <c r="G350" s="4">
        <v>3.0</v>
      </c>
      <c r="H350" s="9">
        <v>122.28</v>
      </c>
      <c r="L350" s="9"/>
    </row>
    <row r="351" hidden="1">
      <c r="A351" s="6">
        <v>41443.0</v>
      </c>
      <c r="B351" s="7">
        <v>3.0</v>
      </c>
      <c r="C351" s="1" t="s">
        <v>15</v>
      </c>
      <c r="D351" s="1" t="s">
        <v>9</v>
      </c>
      <c r="E351" s="1" t="s">
        <v>12</v>
      </c>
      <c r="F351" s="1" t="s">
        <v>19</v>
      </c>
      <c r="G351" s="4">
        <v>2.0</v>
      </c>
      <c r="H351" s="9">
        <v>122.57</v>
      </c>
    </row>
    <row r="352" hidden="1">
      <c r="A352" s="6">
        <v>41444.0</v>
      </c>
      <c r="B352" s="7">
        <v>4.0</v>
      </c>
      <c r="C352" s="1" t="s">
        <v>15</v>
      </c>
      <c r="D352" s="1" t="s">
        <v>20</v>
      </c>
      <c r="E352" s="1" t="s">
        <v>17</v>
      </c>
      <c r="F352" s="1" t="s">
        <v>11</v>
      </c>
      <c r="G352" s="4">
        <v>2.0</v>
      </c>
      <c r="H352" s="9">
        <v>134.59</v>
      </c>
    </row>
    <row r="353" hidden="1">
      <c r="A353" s="6">
        <v>41444.0</v>
      </c>
      <c r="B353" s="7">
        <v>4.0</v>
      </c>
      <c r="C353" s="1" t="s">
        <v>15</v>
      </c>
      <c r="D353" s="1" t="s">
        <v>20</v>
      </c>
      <c r="E353" s="1" t="s">
        <v>10</v>
      </c>
      <c r="F353" s="1" t="s">
        <v>19</v>
      </c>
      <c r="G353" s="4">
        <v>1.0</v>
      </c>
      <c r="H353" s="9">
        <v>134.98</v>
      </c>
    </row>
    <row r="354" hidden="1">
      <c r="A354" s="6">
        <v>41444.0</v>
      </c>
      <c r="B354" s="7">
        <v>4.0</v>
      </c>
      <c r="C354" s="1" t="s">
        <v>15</v>
      </c>
      <c r="D354" s="1" t="s">
        <v>21</v>
      </c>
      <c r="E354" s="1" t="s">
        <v>17</v>
      </c>
      <c r="F354" s="1" t="s">
        <v>19</v>
      </c>
      <c r="G354" s="4">
        <v>1.0</v>
      </c>
      <c r="H354" s="9">
        <v>109.45</v>
      </c>
    </row>
    <row r="355" hidden="1">
      <c r="A355" s="6">
        <v>41445.0</v>
      </c>
      <c r="B355" s="7">
        <v>5.0</v>
      </c>
      <c r="C355" s="1" t="s">
        <v>8</v>
      </c>
      <c r="D355" s="1" t="s">
        <v>9</v>
      </c>
      <c r="E355" s="8" t="s">
        <v>10</v>
      </c>
      <c r="F355" s="1" t="s">
        <v>11</v>
      </c>
      <c r="G355" s="4">
        <v>3.0</v>
      </c>
      <c r="H355" s="9">
        <v>131.52</v>
      </c>
    </row>
    <row r="356" hidden="1">
      <c r="A356" s="6">
        <v>41446.0</v>
      </c>
      <c r="B356" s="7">
        <v>6.0</v>
      </c>
      <c r="C356" s="1" t="s">
        <v>8</v>
      </c>
      <c r="D356" s="1" t="s">
        <v>21</v>
      </c>
      <c r="E356" s="1" t="s">
        <v>10</v>
      </c>
      <c r="F356" s="1" t="s">
        <v>11</v>
      </c>
      <c r="G356" s="4">
        <v>1.0</v>
      </c>
      <c r="H356" s="9">
        <v>88.76</v>
      </c>
    </row>
    <row r="357" hidden="1">
      <c r="A357" s="6">
        <v>41446.0</v>
      </c>
      <c r="B357" s="7">
        <v>6.0</v>
      </c>
      <c r="C357" s="1" t="s">
        <v>8</v>
      </c>
      <c r="D357" s="1" t="s">
        <v>20</v>
      </c>
      <c r="E357" s="8" t="s">
        <v>12</v>
      </c>
      <c r="F357" s="1" t="s">
        <v>11</v>
      </c>
      <c r="G357" s="4">
        <v>2.0</v>
      </c>
      <c r="H357" s="9">
        <v>174.28</v>
      </c>
    </row>
    <row r="358" hidden="1">
      <c r="A358" s="6">
        <v>41446.0</v>
      </c>
      <c r="B358" s="7">
        <v>6.0</v>
      </c>
      <c r="C358" s="1" t="s">
        <v>14</v>
      </c>
      <c r="D358" s="1" t="s">
        <v>9</v>
      </c>
      <c r="E358" s="1" t="s">
        <v>12</v>
      </c>
      <c r="F358" s="1" t="s">
        <v>19</v>
      </c>
      <c r="G358" s="4">
        <v>1.0</v>
      </c>
      <c r="H358" s="9">
        <v>100.7</v>
      </c>
    </row>
    <row r="359">
      <c r="A359" s="6">
        <v>41446.0</v>
      </c>
      <c r="B359" s="7">
        <v>6.0</v>
      </c>
      <c r="C359" s="1" t="s">
        <v>14</v>
      </c>
      <c r="D359" s="1" t="s">
        <v>18</v>
      </c>
      <c r="E359" s="8" t="s">
        <v>12</v>
      </c>
      <c r="F359" s="1" t="s">
        <v>11</v>
      </c>
      <c r="G359" s="4">
        <v>7.0</v>
      </c>
      <c r="H359" s="9">
        <v>387.43</v>
      </c>
      <c r="L359" s="9"/>
    </row>
    <row r="360" hidden="1">
      <c r="A360" s="6">
        <v>41446.0</v>
      </c>
      <c r="B360" s="7">
        <v>6.0</v>
      </c>
      <c r="C360" s="1" t="s">
        <v>14</v>
      </c>
      <c r="D360" s="1" t="s">
        <v>9</v>
      </c>
      <c r="E360" s="1" t="s">
        <v>12</v>
      </c>
      <c r="F360" s="1" t="s">
        <v>11</v>
      </c>
      <c r="G360" s="4">
        <v>3.0</v>
      </c>
      <c r="H360" s="9">
        <v>160.71</v>
      </c>
    </row>
    <row r="361" hidden="1">
      <c r="A361" s="6">
        <v>41446.0</v>
      </c>
      <c r="B361" s="7">
        <v>6.0</v>
      </c>
      <c r="C361" s="1" t="s">
        <v>15</v>
      </c>
      <c r="D361" s="1" t="s">
        <v>20</v>
      </c>
      <c r="E361" s="1" t="s">
        <v>12</v>
      </c>
      <c r="F361" s="1" t="s">
        <v>19</v>
      </c>
      <c r="G361" s="4">
        <v>1.0</v>
      </c>
      <c r="H361" s="9">
        <v>105.91</v>
      </c>
    </row>
    <row r="362" hidden="1">
      <c r="A362" s="6">
        <v>41446.0</v>
      </c>
      <c r="B362" s="7">
        <v>6.0</v>
      </c>
      <c r="C362" s="1" t="s">
        <v>15</v>
      </c>
      <c r="D362" s="1" t="s">
        <v>9</v>
      </c>
      <c r="E362" s="1" t="s">
        <v>17</v>
      </c>
      <c r="F362" s="1" t="s">
        <v>19</v>
      </c>
      <c r="G362" s="4">
        <v>1.0</v>
      </c>
      <c r="H362" s="9">
        <v>101.46</v>
      </c>
    </row>
    <row r="363" hidden="1">
      <c r="A363" s="6">
        <v>41447.0</v>
      </c>
      <c r="B363" s="7">
        <v>7.0</v>
      </c>
      <c r="C363" s="1" t="s">
        <v>8</v>
      </c>
      <c r="D363" s="1" t="s">
        <v>9</v>
      </c>
      <c r="E363" s="1" t="s">
        <v>12</v>
      </c>
      <c r="F363" s="1" t="s">
        <v>11</v>
      </c>
      <c r="G363" s="4">
        <v>5.0</v>
      </c>
      <c r="H363" s="9">
        <v>271.67</v>
      </c>
    </row>
    <row r="364" hidden="1">
      <c r="A364" s="6">
        <v>41447.0</v>
      </c>
      <c r="B364" s="7">
        <v>7.0</v>
      </c>
      <c r="C364" s="1" t="s">
        <v>8</v>
      </c>
      <c r="D364" s="1" t="s">
        <v>18</v>
      </c>
      <c r="E364" s="1" t="s">
        <v>12</v>
      </c>
      <c r="F364" s="1" t="s">
        <v>19</v>
      </c>
      <c r="G364" s="4">
        <v>1.0</v>
      </c>
      <c r="H364" s="9">
        <v>112.74</v>
      </c>
      <c r="J364" s="9"/>
      <c r="K364" s="9"/>
      <c r="L364" s="9"/>
    </row>
    <row r="365" hidden="1">
      <c r="A365" s="6">
        <v>41447.0</v>
      </c>
      <c r="B365" s="7">
        <v>7.0</v>
      </c>
      <c r="C365" s="1" t="s">
        <v>14</v>
      </c>
      <c r="D365" s="1" t="s">
        <v>18</v>
      </c>
      <c r="E365" s="1" t="s">
        <v>10</v>
      </c>
      <c r="F365" s="1" t="s">
        <v>19</v>
      </c>
      <c r="G365" s="4">
        <v>1.0</v>
      </c>
      <c r="H365" s="9">
        <v>96.42</v>
      </c>
      <c r="J365" s="9"/>
      <c r="K365" s="9"/>
      <c r="L365" s="9"/>
    </row>
    <row r="366">
      <c r="A366" s="6">
        <v>41447.0</v>
      </c>
      <c r="B366" s="7">
        <v>7.0</v>
      </c>
      <c r="C366" s="1" t="s">
        <v>15</v>
      </c>
      <c r="D366" s="1" t="s">
        <v>18</v>
      </c>
      <c r="E366" s="8" t="s">
        <v>10</v>
      </c>
      <c r="F366" s="1" t="s">
        <v>11</v>
      </c>
      <c r="G366" s="4">
        <v>6.0</v>
      </c>
      <c r="H366" s="9">
        <v>271.48</v>
      </c>
      <c r="L366" s="9"/>
    </row>
    <row r="367" hidden="1">
      <c r="A367" s="6">
        <v>41448.0</v>
      </c>
      <c r="B367" s="7">
        <v>1.0</v>
      </c>
      <c r="C367" s="1" t="s">
        <v>8</v>
      </c>
      <c r="D367" s="1" t="s">
        <v>18</v>
      </c>
      <c r="E367" s="1" t="s">
        <v>12</v>
      </c>
      <c r="F367" s="1" t="s">
        <v>19</v>
      </c>
      <c r="G367" s="4">
        <v>2.0</v>
      </c>
      <c r="H367" s="9">
        <v>156.79</v>
      </c>
      <c r="J367" s="9"/>
      <c r="K367" s="9"/>
      <c r="L367" s="9"/>
    </row>
    <row r="368" hidden="1">
      <c r="A368" s="6">
        <v>41448.0</v>
      </c>
      <c r="B368" s="7">
        <v>1.0</v>
      </c>
      <c r="C368" s="1" t="s">
        <v>8</v>
      </c>
      <c r="D368" s="1" t="s">
        <v>20</v>
      </c>
      <c r="E368" s="1" t="s">
        <v>17</v>
      </c>
      <c r="F368" s="1" t="s">
        <v>11</v>
      </c>
      <c r="G368" s="4">
        <v>5.0</v>
      </c>
      <c r="H368" s="9">
        <v>249.63</v>
      </c>
    </row>
    <row r="369" hidden="1">
      <c r="A369" s="6">
        <v>41448.0</v>
      </c>
      <c r="B369" s="7">
        <v>1.0</v>
      </c>
      <c r="C369" s="1" t="s">
        <v>14</v>
      </c>
      <c r="D369" s="1" t="s">
        <v>9</v>
      </c>
      <c r="E369" s="1" t="s">
        <v>12</v>
      </c>
      <c r="F369" s="1" t="s">
        <v>19</v>
      </c>
      <c r="G369" s="4">
        <v>6.0</v>
      </c>
      <c r="H369" s="9">
        <v>278.62</v>
      </c>
    </row>
    <row r="370" hidden="1">
      <c r="A370" s="6">
        <v>41448.0</v>
      </c>
      <c r="B370" s="7">
        <v>1.0</v>
      </c>
      <c r="C370" s="1" t="s">
        <v>15</v>
      </c>
      <c r="D370" s="1" t="s">
        <v>18</v>
      </c>
      <c r="E370" s="1" t="s">
        <v>10</v>
      </c>
      <c r="F370" s="1" t="s">
        <v>19</v>
      </c>
      <c r="G370" s="4">
        <v>2.0</v>
      </c>
      <c r="H370" s="9">
        <v>84.46</v>
      </c>
      <c r="J370" s="9"/>
      <c r="K370" s="9"/>
      <c r="L370" s="9"/>
    </row>
    <row r="371" hidden="1">
      <c r="A371" s="6">
        <v>41448.0</v>
      </c>
      <c r="B371" s="7">
        <v>1.0</v>
      </c>
      <c r="C371" s="1" t="s">
        <v>15</v>
      </c>
      <c r="D371" s="1" t="s">
        <v>18</v>
      </c>
      <c r="E371" s="8" t="s">
        <v>12</v>
      </c>
      <c r="F371" s="1" t="s">
        <v>19</v>
      </c>
      <c r="G371" s="4">
        <v>3.0</v>
      </c>
      <c r="H371" s="9">
        <v>221.17</v>
      </c>
      <c r="J371" s="9"/>
      <c r="K371" s="9"/>
      <c r="L371" s="9"/>
    </row>
    <row r="372" hidden="1">
      <c r="A372" s="6">
        <v>41448.0</v>
      </c>
      <c r="B372" s="7">
        <v>1.0</v>
      </c>
      <c r="C372" s="1" t="s">
        <v>15</v>
      </c>
      <c r="D372" s="1" t="s">
        <v>9</v>
      </c>
      <c r="E372" s="1" t="s">
        <v>12</v>
      </c>
      <c r="F372" s="1" t="s">
        <v>19</v>
      </c>
      <c r="G372" s="4">
        <v>4.0</v>
      </c>
      <c r="H372" s="9">
        <v>194.79</v>
      </c>
    </row>
    <row r="373" hidden="1">
      <c r="A373" s="6">
        <v>41448.0</v>
      </c>
      <c r="B373" s="7">
        <v>1.0</v>
      </c>
      <c r="C373" s="1" t="s">
        <v>15</v>
      </c>
      <c r="D373" s="1" t="s">
        <v>20</v>
      </c>
      <c r="E373" s="1" t="s">
        <v>12</v>
      </c>
      <c r="F373" s="1" t="s">
        <v>19</v>
      </c>
      <c r="G373" s="4">
        <v>4.0</v>
      </c>
      <c r="H373" s="9">
        <v>199.22</v>
      </c>
    </row>
    <row r="374">
      <c r="A374" s="6">
        <v>41449.0</v>
      </c>
      <c r="B374" s="7">
        <v>2.0</v>
      </c>
      <c r="C374" s="1" t="s">
        <v>8</v>
      </c>
      <c r="D374" s="1" t="s">
        <v>18</v>
      </c>
      <c r="E374" s="1" t="s">
        <v>10</v>
      </c>
      <c r="F374" s="1" t="s">
        <v>11</v>
      </c>
      <c r="G374" s="4">
        <v>2.0</v>
      </c>
      <c r="H374" s="9">
        <v>141.7</v>
      </c>
      <c r="L374" s="9"/>
    </row>
    <row r="375" hidden="1">
      <c r="A375" s="6">
        <v>41449.0</v>
      </c>
      <c r="B375" s="7">
        <v>2.0</v>
      </c>
      <c r="C375" s="1" t="s">
        <v>14</v>
      </c>
      <c r="D375" s="1" t="s">
        <v>21</v>
      </c>
      <c r="E375" s="8" t="s">
        <v>10</v>
      </c>
      <c r="F375" s="1" t="s">
        <v>11</v>
      </c>
      <c r="G375" s="4">
        <v>4.0</v>
      </c>
      <c r="H375" s="9">
        <v>191.15</v>
      </c>
    </row>
    <row r="376">
      <c r="A376" s="6">
        <v>41449.0</v>
      </c>
      <c r="B376" s="7">
        <v>2.0</v>
      </c>
      <c r="C376" s="1" t="s">
        <v>14</v>
      </c>
      <c r="D376" s="1" t="s">
        <v>18</v>
      </c>
      <c r="E376" s="1" t="s">
        <v>12</v>
      </c>
      <c r="F376" s="1" t="s">
        <v>11</v>
      </c>
      <c r="G376" s="4">
        <v>2.0</v>
      </c>
      <c r="H376" s="9">
        <v>142.41</v>
      </c>
      <c r="L376" s="9"/>
    </row>
    <row r="377">
      <c r="A377" s="6">
        <v>41450.0</v>
      </c>
      <c r="B377" s="7">
        <v>3.0</v>
      </c>
      <c r="C377" s="1" t="s">
        <v>8</v>
      </c>
      <c r="D377" s="1" t="s">
        <v>18</v>
      </c>
      <c r="E377" s="1" t="s">
        <v>12</v>
      </c>
      <c r="F377" s="1" t="s">
        <v>11</v>
      </c>
      <c r="G377" s="4">
        <v>3.0</v>
      </c>
      <c r="H377" s="9">
        <v>134.53</v>
      </c>
      <c r="L377" s="9"/>
    </row>
    <row r="378" hidden="1">
      <c r="A378" s="6">
        <v>41450.0</v>
      </c>
      <c r="B378" s="7">
        <v>3.0</v>
      </c>
      <c r="C378" s="1" t="s">
        <v>14</v>
      </c>
      <c r="D378" s="1" t="s">
        <v>9</v>
      </c>
      <c r="E378" s="1" t="s">
        <v>17</v>
      </c>
      <c r="F378" s="1" t="s">
        <v>11</v>
      </c>
      <c r="G378" s="4">
        <v>7.0</v>
      </c>
      <c r="H378" s="9">
        <v>374.37</v>
      </c>
    </row>
    <row r="379" hidden="1">
      <c r="A379" s="6">
        <v>41450.0</v>
      </c>
      <c r="B379" s="7">
        <v>3.0</v>
      </c>
      <c r="C379" s="1" t="s">
        <v>14</v>
      </c>
      <c r="D379" s="1" t="s">
        <v>20</v>
      </c>
      <c r="E379" s="1" t="s">
        <v>10</v>
      </c>
      <c r="F379" s="1" t="s">
        <v>11</v>
      </c>
      <c r="G379" s="4">
        <v>3.0</v>
      </c>
      <c r="H379" s="9">
        <v>241.73</v>
      </c>
    </row>
    <row r="380" hidden="1">
      <c r="A380" s="6">
        <v>41451.0</v>
      </c>
      <c r="B380" s="7">
        <v>4.0</v>
      </c>
      <c r="C380" s="1" t="s">
        <v>8</v>
      </c>
      <c r="D380" s="1" t="s">
        <v>21</v>
      </c>
      <c r="E380" s="8" t="s">
        <v>12</v>
      </c>
      <c r="F380" s="1" t="s">
        <v>11</v>
      </c>
      <c r="G380" s="4">
        <v>4.0</v>
      </c>
      <c r="H380" s="9">
        <v>278.58</v>
      </c>
    </row>
    <row r="381" hidden="1">
      <c r="A381" s="6">
        <v>41451.0</v>
      </c>
      <c r="B381" s="7">
        <v>4.0</v>
      </c>
      <c r="C381" s="1" t="s">
        <v>8</v>
      </c>
      <c r="D381" s="1" t="s">
        <v>20</v>
      </c>
      <c r="E381" s="1" t="s">
        <v>12</v>
      </c>
      <c r="F381" s="1" t="s">
        <v>11</v>
      </c>
      <c r="G381" s="4">
        <v>1.0</v>
      </c>
      <c r="H381" s="9">
        <v>106.25</v>
      </c>
    </row>
    <row r="382" hidden="1">
      <c r="A382" s="6">
        <v>41451.0</v>
      </c>
      <c r="B382" s="7">
        <v>4.0</v>
      </c>
      <c r="C382" s="1" t="s">
        <v>8</v>
      </c>
      <c r="D382" s="1" t="s">
        <v>20</v>
      </c>
      <c r="E382" s="1" t="s">
        <v>17</v>
      </c>
      <c r="F382" s="1" t="s">
        <v>11</v>
      </c>
      <c r="G382" s="4">
        <v>3.0</v>
      </c>
      <c r="H382" s="9">
        <v>115.71</v>
      </c>
    </row>
    <row r="383">
      <c r="A383" s="6">
        <v>41451.0</v>
      </c>
      <c r="B383" s="7">
        <v>4.0</v>
      </c>
      <c r="C383" s="1" t="s">
        <v>14</v>
      </c>
      <c r="D383" s="1" t="s">
        <v>18</v>
      </c>
      <c r="E383" s="1" t="s">
        <v>10</v>
      </c>
      <c r="F383" s="1" t="s">
        <v>11</v>
      </c>
      <c r="G383" s="4">
        <v>1.0</v>
      </c>
      <c r="H383" s="9">
        <v>78.34</v>
      </c>
      <c r="L383" s="9"/>
    </row>
    <row r="384" hidden="1">
      <c r="A384" s="6">
        <v>41451.0</v>
      </c>
      <c r="B384" s="7">
        <v>4.0</v>
      </c>
      <c r="C384" s="1" t="s">
        <v>14</v>
      </c>
      <c r="D384" s="1" t="s">
        <v>9</v>
      </c>
      <c r="E384" s="1" t="s">
        <v>12</v>
      </c>
      <c r="F384" s="1" t="s">
        <v>11</v>
      </c>
      <c r="G384" s="4">
        <v>4.0</v>
      </c>
      <c r="H384" s="9">
        <v>216.03</v>
      </c>
    </row>
    <row r="385" hidden="1">
      <c r="A385" s="6">
        <v>41451.0</v>
      </c>
      <c r="B385" s="7">
        <v>4.0</v>
      </c>
      <c r="C385" s="1" t="s">
        <v>14</v>
      </c>
      <c r="D385" s="1" t="s">
        <v>9</v>
      </c>
      <c r="E385" s="1" t="s">
        <v>12</v>
      </c>
      <c r="F385" s="1" t="s">
        <v>11</v>
      </c>
      <c r="G385" s="4">
        <v>2.0</v>
      </c>
      <c r="H385" s="9">
        <v>140.01</v>
      </c>
    </row>
    <row r="386" hidden="1">
      <c r="A386" s="6">
        <v>41451.0</v>
      </c>
      <c r="B386" s="7">
        <v>4.0</v>
      </c>
      <c r="C386" s="1" t="s">
        <v>15</v>
      </c>
      <c r="D386" s="1" t="s">
        <v>18</v>
      </c>
      <c r="E386" s="8" t="s">
        <v>12</v>
      </c>
      <c r="F386" s="1" t="s">
        <v>19</v>
      </c>
      <c r="G386" s="4">
        <v>8.0</v>
      </c>
      <c r="H386" s="9">
        <v>458.51</v>
      </c>
      <c r="J386" s="9"/>
      <c r="K386" s="9"/>
      <c r="L386" s="9"/>
    </row>
    <row r="387" hidden="1">
      <c r="A387" s="6">
        <v>41452.0</v>
      </c>
      <c r="B387" s="7">
        <v>5.0</v>
      </c>
      <c r="C387" s="1" t="s">
        <v>8</v>
      </c>
      <c r="D387" s="1" t="s">
        <v>9</v>
      </c>
      <c r="E387" s="1" t="s">
        <v>10</v>
      </c>
      <c r="F387" s="1" t="s">
        <v>11</v>
      </c>
      <c r="G387" s="4">
        <v>4.0</v>
      </c>
      <c r="H387" s="9">
        <v>210.6</v>
      </c>
    </row>
    <row r="388" hidden="1">
      <c r="A388" s="6">
        <v>41452.0</v>
      </c>
      <c r="B388" s="7">
        <v>5.0</v>
      </c>
      <c r="C388" s="1" t="s">
        <v>8</v>
      </c>
      <c r="D388" s="1" t="s">
        <v>20</v>
      </c>
      <c r="E388" s="1" t="s">
        <v>12</v>
      </c>
      <c r="F388" s="1" t="s">
        <v>11</v>
      </c>
      <c r="G388" s="4">
        <v>4.0</v>
      </c>
      <c r="H388" s="9">
        <v>189.49</v>
      </c>
    </row>
    <row r="389" hidden="1">
      <c r="A389" s="6">
        <v>41452.0</v>
      </c>
      <c r="B389" s="7">
        <v>5.0</v>
      </c>
      <c r="C389" s="1" t="s">
        <v>15</v>
      </c>
      <c r="D389" s="1" t="s">
        <v>9</v>
      </c>
      <c r="E389" s="1" t="s">
        <v>17</v>
      </c>
      <c r="F389" s="1" t="s">
        <v>19</v>
      </c>
      <c r="G389" s="4">
        <v>7.0</v>
      </c>
      <c r="H389" s="9">
        <v>359.42</v>
      </c>
    </row>
    <row r="390" hidden="1">
      <c r="A390" s="6">
        <v>41453.0</v>
      </c>
      <c r="B390" s="7">
        <v>6.0</v>
      </c>
      <c r="C390" s="1" t="s">
        <v>8</v>
      </c>
      <c r="D390" s="1" t="s">
        <v>9</v>
      </c>
      <c r="E390" s="1" t="s">
        <v>17</v>
      </c>
      <c r="F390" s="1" t="s">
        <v>11</v>
      </c>
      <c r="G390" s="4">
        <v>3.0</v>
      </c>
      <c r="H390" s="9">
        <v>132.06</v>
      </c>
    </row>
    <row r="391" hidden="1">
      <c r="A391" s="6">
        <v>41453.0</v>
      </c>
      <c r="B391" s="7">
        <v>6.0</v>
      </c>
      <c r="C391" s="1" t="s">
        <v>8</v>
      </c>
      <c r="D391" s="1" t="s">
        <v>9</v>
      </c>
      <c r="E391" s="1" t="s">
        <v>10</v>
      </c>
      <c r="F391" s="1" t="s">
        <v>11</v>
      </c>
      <c r="G391" s="4">
        <v>5.0</v>
      </c>
      <c r="H391" s="9">
        <v>252.33</v>
      </c>
    </row>
    <row r="392" hidden="1">
      <c r="A392" s="6">
        <v>41453.0</v>
      </c>
      <c r="B392" s="7">
        <v>6.0</v>
      </c>
      <c r="C392" s="1" t="s">
        <v>8</v>
      </c>
      <c r="D392" s="1" t="s">
        <v>21</v>
      </c>
      <c r="E392" s="8" t="s">
        <v>12</v>
      </c>
      <c r="F392" s="1" t="s">
        <v>19</v>
      </c>
      <c r="G392" s="4">
        <v>2.0</v>
      </c>
      <c r="H392" s="9">
        <v>172.05</v>
      </c>
    </row>
    <row r="393" hidden="1">
      <c r="A393" s="6">
        <v>41453.0</v>
      </c>
      <c r="B393" s="7">
        <v>6.0</v>
      </c>
      <c r="C393" s="1" t="s">
        <v>14</v>
      </c>
      <c r="D393" s="1" t="s">
        <v>9</v>
      </c>
      <c r="E393" s="1" t="s">
        <v>12</v>
      </c>
      <c r="F393" s="1" t="s">
        <v>11</v>
      </c>
      <c r="G393" s="4">
        <v>4.0</v>
      </c>
      <c r="H393" s="9">
        <v>206.19</v>
      </c>
    </row>
    <row r="394" hidden="1">
      <c r="A394" s="6">
        <v>41453.0</v>
      </c>
      <c r="B394" s="7">
        <v>6.0</v>
      </c>
      <c r="C394" s="1" t="s">
        <v>14</v>
      </c>
      <c r="D394" s="1" t="s">
        <v>21</v>
      </c>
      <c r="E394" s="1" t="s">
        <v>12</v>
      </c>
      <c r="F394" s="1" t="s">
        <v>11</v>
      </c>
      <c r="G394" s="4">
        <v>2.0</v>
      </c>
      <c r="H394" s="9">
        <v>143.98</v>
      </c>
    </row>
    <row r="395">
      <c r="A395" s="6">
        <v>41453.0</v>
      </c>
      <c r="B395" s="7">
        <v>6.0</v>
      </c>
      <c r="C395" s="1" t="s">
        <v>14</v>
      </c>
      <c r="D395" s="1" t="s">
        <v>18</v>
      </c>
      <c r="E395" s="1" t="s">
        <v>10</v>
      </c>
      <c r="F395" s="1" t="s">
        <v>11</v>
      </c>
      <c r="G395" s="4">
        <v>4.0</v>
      </c>
      <c r="H395" s="9">
        <v>276.67</v>
      </c>
      <c r="L395" s="9"/>
    </row>
    <row r="396" hidden="1">
      <c r="A396" s="6">
        <v>41454.0</v>
      </c>
      <c r="B396" s="7">
        <v>7.0</v>
      </c>
      <c r="C396" s="1" t="s">
        <v>8</v>
      </c>
      <c r="D396" s="1" t="s">
        <v>21</v>
      </c>
      <c r="E396" s="1" t="s">
        <v>10</v>
      </c>
      <c r="F396" s="1" t="s">
        <v>19</v>
      </c>
      <c r="G396" s="4">
        <v>1.0</v>
      </c>
      <c r="H396" s="9">
        <v>111.67</v>
      </c>
    </row>
    <row r="397" hidden="1">
      <c r="A397" s="6">
        <v>41454.0</v>
      </c>
      <c r="B397" s="7">
        <v>7.0</v>
      </c>
      <c r="C397" s="1" t="s">
        <v>14</v>
      </c>
      <c r="D397" s="1" t="s">
        <v>18</v>
      </c>
      <c r="E397" s="1" t="s">
        <v>10</v>
      </c>
      <c r="F397" s="1" t="s">
        <v>19</v>
      </c>
      <c r="G397" s="4">
        <v>6.0</v>
      </c>
      <c r="H397" s="9">
        <v>268.39</v>
      </c>
      <c r="J397" s="9"/>
      <c r="K397" s="9"/>
      <c r="L397" s="9"/>
    </row>
    <row r="398">
      <c r="A398" s="6">
        <v>41454.0</v>
      </c>
      <c r="B398" s="7">
        <v>7.0</v>
      </c>
      <c r="C398" s="1" t="s">
        <v>14</v>
      </c>
      <c r="D398" s="1" t="s">
        <v>18</v>
      </c>
      <c r="E398" s="1" t="s">
        <v>17</v>
      </c>
      <c r="F398" s="1" t="s">
        <v>11</v>
      </c>
      <c r="G398" s="4">
        <v>3.0</v>
      </c>
      <c r="H398" s="9">
        <v>169.11</v>
      </c>
      <c r="L398" s="9"/>
    </row>
    <row r="399" hidden="1">
      <c r="A399" s="6">
        <v>41454.0</v>
      </c>
      <c r="B399" s="7">
        <v>7.0</v>
      </c>
      <c r="C399" s="1" t="s">
        <v>14</v>
      </c>
      <c r="D399" s="1" t="s">
        <v>9</v>
      </c>
      <c r="E399" s="1" t="s">
        <v>12</v>
      </c>
      <c r="F399" s="1" t="s">
        <v>19</v>
      </c>
      <c r="G399" s="4">
        <v>6.0</v>
      </c>
      <c r="H399" s="9">
        <v>242.46</v>
      </c>
    </row>
    <row r="400" hidden="1">
      <c r="A400" s="6">
        <v>41454.0</v>
      </c>
      <c r="B400" s="7">
        <v>7.0</v>
      </c>
      <c r="C400" s="1" t="s">
        <v>14</v>
      </c>
      <c r="D400" s="1" t="s">
        <v>18</v>
      </c>
      <c r="E400" s="1" t="s">
        <v>10</v>
      </c>
      <c r="F400" s="1" t="s">
        <v>19</v>
      </c>
      <c r="G400" s="4">
        <v>4.0</v>
      </c>
      <c r="H400" s="9">
        <v>168.64</v>
      </c>
      <c r="J400" s="9"/>
      <c r="K400" s="9"/>
      <c r="L400" s="9"/>
    </row>
    <row r="401">
      <c r="A401" s="6">
        <v>41454.0</v>
      </c>
      <c r="B401" s="7">
        <v>7.0</v>
      </c>
      <c r="C401" s="1" t="s">
        <v>14</v>
      </c>
      <c r="D401" s="1" t="s">
        <v>18</v>
      </c>
      <c r="E401" s="1" t="s">
        <v>10</v>
      </c>
      <c r="F401" s="1" t="s">
        <v>11</v>
      </c>
      <c r="G401" s="4">
        <v>1.0</v>
      </c>
      <c r="H401" s="9">
        <v>107.59</v>
      </c>
      <c r="L401" s="9"/>
    </row>
  </sheetData>
  <autoFilter ref="$A$1:$H$401">
    <filterColumn colId="3">
      <filters>
        <filter val="NorthEast"/>
      </filters>
    </filterColumn>
    <filterColumn colId="5">
      <filters>
        <filter val="Female"/>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row r="2"/>
    <row r="3"/>
    <row r="4"/>
    <row r="5"/>
    <row r="6"/>
  </sheetData>
  <drawing r:id="rId2"/>
</worksheet>
</file>